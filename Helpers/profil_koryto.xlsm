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80" windowHeight="8325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Sheet1!$A$21:$D$40</definedName>
  </definedNames>
  <calcPr calcId="145621"/>
</workbook>
</file>

<file path=xl/calcChain.xml><?xml version="1.0" encoding="utf-8"?>
<calcChain xmlns="http://schemas.openxmlformats.org/spreadsheetml/2006/main">
  <c r="D23" i="1" l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D22" i="1"/>
  <c r="C22" i="1"/>
  <c r="D5" i="1" l="1"/>
  <c r="D6" i="1"/>
  <c r="D7" i="1"/>
  <c r="D8" i="1"/>
  <c r="D9" i="1"/>
  <c r="D10" i="1"/>
  <c r="D11" i="1"/>
  <c r="D12" i="1"/>
  <c r="D13" i="1"/>
  <c r="D14" i="1"/>
  <c r="D15" i="1"/>
  <c r="D4" i="1"/>
  <c r="C5" i="1"/>
  <c r="C6" i="1"/>
  <c r="C7" i="1"/>
  <c r="C8" i="1"/>
  <c r="C9" i="1"/>
  <c r="C10" i="1"/>
  <c r="C11" i="1"/>
  <c r="C12" i="1"/>
  <c r="C13" i="1"/>
  <c r="C14" i="1"/>
  <c r="C15" i="1"/>
  <c r="C4" i="1"/>
  <c r="A16" i="1"/>
</calcChain>
</file>

<file path=xl/sharedStrings.xml><?xml version="1.0" encoding="utf-8"?>
<sst xmlns="http://schemas.openxmlformats.org/spreadsheetml/2006/main" count="12" uniqueCount="10">
  <si>
    <t>Level</t>
  </si>
  <si>
    <t>Width</t>
  </si>
  <si>
    <t>Nadm. Výška</t>
  </si>
  <si>
    <t>šířka na obě strany v ose</t>
  </si>
  <si>
    <t>Obarvené zkopírovat do M11 - tahle řada se mění !</t>
  </si>
  <si>
    <t>Vložit profil koryta z Cross-sections</t>
  </si>
  <si>
    <t>X</t>
  </si>
  <si>
    <t>Y</t>
  </si>
  <si>
    <t>PRAVA</t>
  </si>
  <si>
    <t>LEVA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</si>
</sst>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0" borderId="2" xfId="0" applyBorder="1"/>
    <xf numFmtId="0" fontId="0" fillId="0" borderId="3" xfId="0" applyBorder="1"/>
    <xf numFmtId="0" fontId="0" fillId="2" borderId="4" xfId="0" applyFill="1" applyBorder="1"/>
    <xf numFmtId="0" fontId="0" fillId="2" borderId="0" xfId="0" applyFill="1" applyBorder="1"/>
    <xf numFmtId="0" fontId="0" fillId="0" borderId="0" xfId="0" applyBorder="1"/>
    <xf numFmtId="0" fontId="0" fillId="0" borderId="5" xfId="0" applyBorder="1"/>
    <xf numFmtId="0" fontId="0" fillId="3" borderId="8" xfId="0" applyFill="1" applyBorder="1"/>
    <xf numFmtId="0" fontId="0" fillId="3" borderId="9" xfId="0" applyFill="1" applyBorder="1"/>
    <xf numFmtId="0" fontId="0" fillId="0" borderId="9" xfId="0" applyBorder="1"/>
    <xf numFmtId="0" fontId="0" fillId="0" borderId="10" xfId="0" applyBorder="1"/>
    <xf numFmtId="0" fontId="0" fillId="0" borderId="8" xfId="0" applyBorder="1"/>
    <xf numFmtId="0" fontId="0" fillId="2" borderId="6" xfId="0" applyFill="1" applyBorder="1"/>
    <xf numFmtId="0" fontId="0" fillId="2" borderId="7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Propustek pravo</c:v>
          </c:tx>
          <c:marker>
            <c:symbol val="none"/>
          </c:marker>
          <c:xVal>
            <c:numRef>
              <c:f>Sheet1!$C$4:$C$15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Sheet1!$A$4:$A$15</c:f>
              <c:numCache>
                <c:formatCode>General</c:formatCode>
                <c:ptCount val="12"/>
              </c:numCache>
            </c:numRef>
          </c:yVal>
          <c:smooth val="1"/>
        </c:ser>
        <c:ser>
          <c:idx val="1"/>
          <c:order val="1"/>
          <c:tx>
            <c:v>Propustek vlevo</c:v>
          </c:tx>
          <c:marker>
            <c:symbol val="none"/>
          </c:marker>
          <c:xVal>
            <c:numRef>
              <c:f>Sheet1!$D$4:$D$15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Sheet1!$A$4:$A$15</c:f>
              <c:numCache>
                <c:formatCode>General</c:formatCode>
                <c:ptCount val="12"/>
              </c:numCache>
            </c:numRef>
          </c:yVal>
          <c:smooth val="1"/>
        </c:ser>
        <c:ser>
          <c:idx val="2"/>
          <c:order val="2"/>
          <c:tx>
            <c:v>Koryto vpravo</c:v>
          </c:tx>
          <c:marker>
            <c:symbol val="none"/>
          </c:marker>
          <c:xVal>
            <c:numRef>
              <c:f>Sheet1!$C$22:$C$40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Sheet1!$A$22:$A$40</c:f>
              <c:numCache>
                <c:formatCode>General</c:formatCode>
                <c:ptCount val="19"/>
              </c:numCache>
            </c:numRef>
          </c:yVal>
          <c:smooth val="1"/>
        </c:ser>
        <c:ser>
          <c:idx val="3"/>
          <c:order val="3"/>
          <c:tx>
            <c:v>Koryto vlevo</c:v>
          </c:tx>
          <c:marker>
            <c:symbol val="none"/>
          </c:marker>
          <c:xVal>
            <c:numRef>
              <c:f>Sheet1!$D$22:$D$40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Sheet1!$A$22:$A$40</c:f>
              <c:numCache>
                <c:formatCode>General</c:formatCode>
                <c:ptCount val="19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71744"/>
        <c:axId val="167482112"/>
      </c:scatterChart>
      <c:valAx>
        <c:axId val="167471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cs-CZ"/>
                  <a:t>sířka propustku [m]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7482112"/>
        <c:crosses val="autoZero"/>
        <c:crossBetween val="midCat"/>
      </c:valAx>
      <c:valAx>
        <c:axId val="167482112"/>
        <c:scaling>
          <c:orientation val="minMax"/>
        </c:scaling>
        <c:delete val="0"/>
        <c:axPos val="r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cs-CZ"/>
                  <a:t>nadmořská výška [m. n.m.]</a:t>
                </a:r>
              </a:p>
            </c:rich>
          </c:tx>
          <c:layout/>
          <c:overlay val="0"/>
        </c:title>
        <c:numFmt formatCode="General" sourceLinked="1"/>
        <c:majorTickMark val="cross"/>
        <c:minorTickMark val="none"/>
        <c:tickLblPos val="nextTo"/>
        <c:crossAx val="167471744"/>
        <c:crosses val="max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Propustek pravo</c:v>
          </c:tx>
          <c:marker>
            <c:symbol val="none"/>
          </c:marker>
          <c:xVal>
            <c:numRef>
              <c:f>Sheet1!$C$4:$C$16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Sheet1!$A$4:$A$16</c:f>
              <c:numCache>
                <c:formatCode>General</c:formatCode>
                <c:ptCount val="13"/>
                <c:pt idx="1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Propustek levo</c:v>
          </c:tx>
          <c:marker>
            <c:symbol val="none"/>
          </c:marker>
          <c:xVal>
            <c:numRef>
              <c:f>Sheet1!$D$4:$D$16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Sheet1!$A$4:$A$16</c:f>
              <c:numCache>
                <c:formatCode>General</c:formatCode>
                <c:ptCount val="13"/>
                <c:pt idx="12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Koryto vpravo</c:v>
          </c:tx>
          <c:marker>
            <c:symbol val="none"/>
          </c:marker>
          <c:xVal>
            <c:numRef>
              <c:f>Sheet1!$C$22:$C$40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Sheet1!$A$22:$A$40</c:f>
              <c:numCache>
                <c:formatCode>General</c:formatCode>
                <c:ptCount val="19"/>
              </c:numCache>
            </c:numRef>
          </c:yVal>
          <c:smooth val="0"/>
        </c:ser>
        <c:ser>
          <c:idx val="3"/>
          <c:order val="3"/>
          <c:tx>
            <c:v>Koryto vlevo</c:v>
          </c:tx>
          <c:marker>
            <c:symbol val="none"/>
          </c:marker>
          <c:xVal>
            <c:numRef>
              <c:f>Sheet1!$D$22:$D$40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Sheet1!$A$22:$A$40</c:f>
              <c:numCache>
                <c:formatCode>General</c:formatCode>
                <c:ptCount val="1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40768"/>
        <c:axId val="167851136"/>
      </c:scatterChart>
      <c:valAx>
        <c:axId val="1678407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cs-CZ"/>
                  <a:t>sířka propustku [m]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7851136"/>
        <c:crosses val="autoZero"/>
        <c:crossBetween val="midCat"/>
      </c:valAx>
      <c:valAx>
        <c:axId val="167851136"/>
        <c:scaling>
          <c:orientation val="minMax"/>
        </c:scaling>
        <c:delete val="0"/>
        <c:axPos val="r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cs-CZ"/>
                  <a:t>nadmořská výška [m n.m.]</a:t>
                </a:r>
              </a:p>
            </c:rich>
          </c:tx>
          <c:layout/>
          <c:overlay val="0"/>
        </c:title>
        <c:numFmt formatCode="General" sourceLinked="1"/>
        <c:majorTickMark val="cross"/>
        <c:minorTickMark val="none"/>
        <c:tickLblPos val="nextTo"/>
        <c:crossAx val="167840768"/>
        <c:crosses val="max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0</xdr:row>
      <xdr:rowOff>76199</xdr:rowOff>
    </xdr:from>
    <xdr:to>
      <xdr:col>14</xdr:col>
      <xdr:colOff>433387</xdr:colOff>
      <xdr:row>18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419100</xdr:colOff>
      <xdr:row>19</xdr:row>
      <xdr:rowOff>180975</xdr:rowOff>
    </xdr:from>
    <xdr:to>
      <xdr:col>14</xdr:col>
      <xdr:colOff>481012</xdr:colOff>
      <xdr:row>38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</xdr:row>
          <xdr:rowOff>57150</xdr:rowOff>
        </xdr:from>
        <xdr:to>
          <xdr:col>5</xdr:col>
          <xdr:colOff>133350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Nahodit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40"/>
  <sheetViews>
    <sheetView tabSelected="1" workbookViewId="0">
      <selection activeCell="A22" sqref="A22:B28"/>
    </sheetView>
  </sheetViews>
  <sheetFormatPr defaultRowHeight="15" x14ac:dyDescent="0.25"/>
  <cols>
    <col min="1" max="1" width="12.7109375" customWidth="1"/>
  </cols>
  <sheetData>
    <row r="1" spans="1:4" x14ac:dyDescent="0.25">
      <c r="A1" t="s">
        <v>4</v>
      </c>
    </row>
    <row r="2" spans="1:4" x14ac:dyDescent="0.25">
      <c r="A2" t="s">
        <v>2</v>
      </c>
      <c r="B2" t="s">
        <v>3</v>
      </c>
    </row>
    <row r="3" spans="1:4" x14ac:dyDescent="0.25">
      <c r="A3" t="s">
        <v>0</v>
      </c>
      <c r="B3" t="s">
        <v>1</v>
      </c>
      <c r="C3" t="s">
        <v>8</v>
      </c>
      <c r="D3" t="s">
        <v>9</v>
      </c>
    </row>
    <row r="4" spans="1:4" x14ac:dyDescent="0.25">
      <c r="A4" s="1"/>
      <c r="B4" s="2"/>
      <c r="C4" s="3">
        <f>ABS(B4/2)</f>
        <v>0</v>
      </c>
      <c r="D4" s="4">
        <f>ABS(B4/2)*(-1)</f>
        <v>0</v>
      </c>
    </row>
    <row r="5" spans="1:4" x14ac:dyDescent="0.25">
      <c r="A5" s="5"/>
      <c r="B5" s="6"/>
      <c r="C5" s="7">
        <f t="shared" ref="C5:C15" si="0">ABS(B5/2)</f>
        <v>0</v>
      </c>
      <c r="D5" s="8">
        <f t="shared" ref="D5:D15" si="1">ABS(B5/2)*(-1)</f>
        <v>0</v>
      </c>
    </row>
    <row r="6" spans="1:4" x14ac:dyDescent="0.25">
      <c r="A6" s="5"/>
      <c r="B6" s="6"/>
      <c r="C6" s="7">
        <f t="shared" si="0"/>
        <v>0</v>
      </c>
      <c r="D6" s="8">
        <f t="shared" si="1"/>
        <v>0</v>
      </c>
    </row>
    <row r="7" spans="1:4" x14ac:dyDescent="0.25">
      <c r="A7" s="5"/>
      <c r="B7" s="6"/>
      <c r="C7" s="7">
        <f t="shared" si="0"/>
        <v>0</v>
      </c>
      <c r="D7" s="8">
        <f t="shared" si="1"/>
        <v>0</v>
      </c>
    </row>
    <row r="8" spans="1:4" x14ac:dyDescent="0.25">
      <c r="A8" s="5"/>
      <c r="B8" s="6"/>
      <c r="C8" s="7">
        <f t="shared" si="0"/>
        <v>0</v>
      </c>
      <c r="D8" s="8">
        <f t="shared" si="1"/>
        <v>0</v>
      </c>
    </row>
    <row r="9" spans="1:4" x14ac:dyDescent="0.25">
      <c r="A9" s="5"/>
      <c r="B9" s="6"/>
      <c r="C9" s="7">
        <f t="shared" si="0"/>
        <v>0</v>
      </c>
      <c r="D9" s="8">
        <f t="shared" si="1"/>
        <v>0</v>
      </c>
    </row>
    <row r="10" spans="1:4" x14ac:dyDescent="0.25">
      <c r="A10" s="5"/>
      <c r="B10" s="6"/>
      <c r="C10" s="7">
        <f t="shared" si="0"/>
        <v>0</v>
      </c>
      <c r="D10" s="8">
        <f t="shared" si="1"/>
        <v>0</v>
      </c>
    </row>
    <row r="11" spans="1:4" x14ac:dyDescent="0.25">
      <c r="A11" s="5"/>
      <c r="B11" s="6"/>
      <c r="C11" s="7">
        <f t="shared" si="0"/>
        <v>0</v>
      </c>
      <c r="D11" s="8">
        <f t="shared" si="1"/>
        <v>0</v>
      </c>
    </row>
    <row r="12" spans="1:4" x14ac:dyDescent="0.25">
      <c r="A12" s="5"/>
      <c r="B12" s="6"/>
      <c r="C12" s="7">
        <f t="shared" si="0"/>
        <v>0</v>
      </c>
      <c r="D12" s="8">
        <f t="shared" si="1"/>
        <v>0</v>
      </c>
    </row>
    <row r="13" spans="1:4" x14ac:dyDescent="0.25">
      <c r="A13" s="5"/>
      <c r="B13" s="6"/>
      <c r="C13" s="7">
        <f t="shared" si="0"/>
        <v>0</v>
      </c>
      <c r="D13" s="8">
        <f t="shared" si="1"/>
        <v>0</v>
      </c>
    </row>
    <row r="14" spans="1:4" x14ac:dyDescent="0.25">
      <c r="A14" s="5"/>
      <c r="B14" s="6"/>
      <c r="C14" s="7">
        <f t="shared" si="0"/>
        <v>0</v>
      </c>
      <c r="D14" s="8">
        <f t="shared" si="1"/>
        <v>0</v>
      </c>
    </row>
    <row r="15" spans="1:4" x14ac:dyDescent="0.25">
      <c r="A15" s="5"/>
      <c r="B15" s="6"/>
      <c r="C15" s="7">
        <f t="shared" si="0"/>
        <v>0</v>
      </c>
      <c r="D15" s="8">
        <f t="shared" si="1"/>
        <v>0</v>
      </c>
    </row>
    <row r="16" spans="1:4" x14ac:dyDescent="0.25">
      <c r="A16" s="9">
        <f>MAX(A4:A15)</f>
        <v>0</v>
      </c>
      <c r="B16" s="10"/>
      <c r="C16" s="11"/>
      <c r="D16" s="12"/>
    </row>
    <row r="20" spans="1:4" x14ac:dyDescent="0.25">
      <c r="A20" t="s">
        <v>5</v>
      </c>
    </row>
    <row r="21" spans="1:4" x14ac:dyDescent="0.25">
      <c r="A21" s="13" t="s">
        <v>6</v>
      </c>
      <c r="B21" s="11" t="s">
        <v>7</v>
      </c>
      <c r="C21" s="11" t="s">
        <v>8</v>
      </c>
      <c r="D21" s="12" t="s">
        <v>9</v>
      </c>
    </row>
    <row r="22" spans="1:4" x14ac:dyDescent="0.25">
      <c r="A22" s="5"/>
      <c r="B22" s="6"/>
      <c r="C22" s="7">
        <f>ABS(B22/2)</f>
        <v>0</v>
      </c>
      <c r="D22" s="8">
        <f>ABS(B22/2)*(-1)</f>
        <v>0</v>
      </c>
    </row>
    <row r="23" spans="1:4" x14ac:dyDescent="0.25">
      <c r="A23" s="5"/>
      <c r="B23" s="6"/>
      <c r="C23" s="7">
        <f t="shared" ref="C23:C40" si="2">ABS(B23/2)</f>
        <v>0</v>
      </c>
      <c r="D23" s="8">
        <f t="shared" ref="D23:D40" si="3">ABS(B23/2)*(-1)</f>
        <v>0</v>
      </c>
    </row>
    <row r="24" spans="1:4" x14ac:dyDescent="0.25">
      <c r="A24" s="5"/>
      <c r="B24" s="6"/>
      <c r="C24" s="7">
        <f t="shared" si="2"/>
        <v>0</v>
      </c>
      <c r="D24" s="8">
        <f t="shared" si="3"/>
        <v>0</v>
      </c>
    </row>
    <row r="25" spans="1:4" x14ac:dyDescent="0.25">
      <c r="A25" s="5"/>
      <c r="B25" s="6"/>
      <c r="C25" s="7">
        <f t="shared" si="2"/>
        <v>0</v>
      </c>
      <c r="D25" s="8">
        <f t="shared" si="3"/>
        <v>0</v>
      </c>
    </row>
    <row r="26" spans="1:4" x14ac:dyDescent="0.25">
      <c r="A26" s="5"/>
      <c r="B26" s="6"/>
      <c r="C26" s="7">
        <f t="shared" si="2"/>
        <v>0</v>
      </c>
      <c r="D26" s="8">
        <f t="shared" si="3"/>
        <v>0</v>
      </c>
    </row>
    <row r="27" spans="1:4" x14ac:dyDescent="0.25">
      <c r="A27" s="5"/>
      <c r="B27" s="6"/>
      <c r="C27" s="7">
        <f t="shared" si="2"/>
        <v>0</v>
      </c>
      <c r="D27" s="8">
        <f t="shared" si="3"/>
        <v>0</v>
      </c>
    </row>
    <row r="28" spans="1:4" x14ac:dyDescent="0.25">
      <c r="A28" s="5"/>
      <c r="B28" s="6"/>
      <c r="C28" s="7">
        <f t="shared" si="2"/>
        <v>0</v>
      </c>
      <c r="D28" s="8">
        <f t="shared" si="3"/>
        <v>0</v>
      </c>
    </row>
    <row r="29" spans="1:4" x14ac:dyDescent="0.25">
      <c r="A29" s="5"/>
      <c r="B29" s="6"/>
      <c r="C29" s="7">
        <f t="shared" si="2"/>
        <v>0</v>
      </c>
      <c r="D29" s="8">
        <f t="shared" si="3"/>
        <v>0</v>
      </c>
    </row>
    <row r="30" spans="1:4" x14ac:dyDescent="0.25">
      <c r="A30" s="5"/>
      <c r="B30" s="6"/>
      <c r="C30" s="7">
        <f t="shared" si="2"/>
        <v>0</v>
      </c>
      <c r="D30" s="8">
        <f t="shared" si="3"/>
        <v>0</v>
      </c>
    </row>
    <row r="31" spans="1:4" x14ac:dyDescent="0.25">
      <c r="A31" s="5"/>
      <c r="B31" s="6"/>
      <c r="C31" s="7">
        <f t="shared" si="2"/>
        <v>0</v>
      </c>
      <c r="D31" s="8">
        <f t="shared" si="3"/>
        <v>0</v>
      </c>
    </row>
    <row r="32" spans="1:4" x14ac:dyDescent="0.25">
      <c r="A32" s="5"/>
      <c r="B32" s="6"/>
      <c r="C32" s="7">
        <f t="shared" si="2"/>
        <v>0</v>
      </c>
      <c r="D32" s="8">
        <f t="shared" si="3"/>
        <v>0</v>
      </c>
    </row>
    <row r="33" spans="1:4" x14ac:dyDescent="0.25">
      <c r="A33" s="5"/>
      <c r="B33" s="6"/>
      <c r="C33" s="7">
        <f t="shared" si="2"/>
        <v>0</v>
      </c>
      <c r="D33" s="8">
        <f t="shared" si="3"/>
        <v>0</v>
      </c>
    </row>
    <row r="34" spans="1:4" x14ac:dyDescent="0.25">
      <c r="A34" s="5"/>
      <c r="B34" s="6"/>
      <c r="C34" s="7">
        <f t="shared" si="2"/>
        <v>0</v>
      </c>
      <c r="D34" s="8">
        <f t="shared" si="3"/>
        <v>0</v>
      </c>
    </row>
    <row r="35" spans="1:4" x14ac:dyDescent="0.25">
      <c r="A35" s="5"/>
      <c r="B35" s="6"/>
      <c r="C35" s="7">
        <f t="shared" si="2"/>
        <v>0</v>
      </c>
      <c r="D35" s="8">
        <f t="shared" si="3"/>
        <v>0</v>
      </c>
    </row>
    <row r="36" spans="1:4" x14ac:dyDescent="0.25">
      <c r="A36" s="5"/>
      <c r="B36" s="6"/>
      <c r="C36" s="7">
        <f t="shared" si="2"/>
        <v>0</v>
      </c>
      <c r="D36" s="8">
        <f t="shared" si="3"/>
        <v>0</v>
      </c>
    </row>
    <row r="37" spans="1:4" x14ac:dyDescent="0.25">
      <c r="A37" s="5"/>
      <c r="B37" s="6"/>
      <c r="C37" s="7">
        <f t="shared" si="2"/>
        <v>0</v>
      </c>
      <c r="D37" s="8">
        <f t="shared" si="3"/>
        <v>0</v>
      </c>
    </row>
    <row r="38" spans="1:4" x14ac:dyDescent="0.25">
      <c r="A38" s="5"/>
      <c r="B38" s="6"/>
      <c r="C38" s="7">
        <f t="shared" si="2"/>
        <v>0</v>
      </c>
      <c r="D38" s="8">
        <f t="shared" si="3"/>
        <v>0</v>
      </c>
    </row>
    <row r="39" spans="1:4" x14ac:dyDescent="0.25">
      <c r="A39" s="5"/>
      <c r="B39" s="6"/>
      <c r="C39" s="7">
        <f t="shared" si="2"/>
        <v>0</v>
      </c>
      <c r="D39" s="8">
        <f t="shared" si="3"/>
        <v>0</v>
      </c>
    </row>
    <row r="40" spans="1:4" x14ac:dyDescent="0.25">
      <c r="A40" s="14"/>
      <c r="B40" s="15"/>
      <c r="C40" s="7">
        <f t="shared" si="2"/>
        <v>0</v>
      </c>
      <c r="D40" s="8">
        <f t="shared" si="3"/>
        <v>0</v>
      </c>
    </row>
  </sheetData>
  <autoFilter ref="A21:D40">
    <sortState ref="A22:D40">
      <sortCondition ref="B21:B40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4</xdr:col>
                    <xdr:colOff>57150</xdr:colOff>
                    <xdr:row>1</xdr:row>
                    <xdr:rowOff>57150</xdr:rowOff>
                  </from>
                  <to>
                    <xdr:col>5</xdr:col>
                    <xdr:colOff>133350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DHI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Vajda</dc:creator>
  <cp:lastModifiedBy>Jakub Vajda</cp:lastModifiedBy>
  <dcterms:created xsi:type="dcterms:W3CDTF">2011-10-21T12:10:51Z</dcterms:created>
  <dcterms:modified xsi:type="dcterms:W3CDTF">2011-11-17T07:58:19Z</dcterms:modified>
</cp:coreProperties>
</file>