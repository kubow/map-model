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2035" windowHeight="9540"/>
  </bookViews>
  <sheets>
    <sheet name="Kruh" sheetId="4" r:id="rId1"/>
    <sheet name="Profil" sheetId="1" r:id="rId2"/>
    <sheet name="Hydrometrovani" sheetId="3" r:id="rId3"/>
  </sheets>
  <definedNames>
    <definedName name="DN_KRUH" localSheetId="0">Kruh!$D$2</definedName>
    <definedName name="DN_KRUH">#REF!</definedName>
    <definedName name="POC_BOD">Kruh!$D$3</definedName>
    <definedName name="R_KRUH" localSheetId="0">Kruh!$D$4</definedName>
    <definedName name="R_KRUH">#REF!</definedName>
  </definedNames>
  <calcPr calcId="145621"/>
</workbook>
</file>

<file path=xl/calcChain.xml><?xml version="1.0" encoding="utf-8"?>
<calcChain xmlns="http://schemas.openxmlformats.org/spreadsheetml/2006/main">
  <c r="AA5" i="1" l="1"/>
  <c r="Z5" i="1"/>
  <c r="AA3" i="1"/>
  <c r="Z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AB4" i="1" l="1"/>
  <c r="AB5" i="1"/>
  <c r="AB3" i="1"/>
  <c r="F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3" i="1"/>
  <c r="F4" i="1" l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F1003" i="1" s="1"/>
  <c r="K1003" i="4"/>
  <c r="I1003" i="4" s="1"/>
  <c r="H1003" i="4"/>
  <c r="AA5" i="4"/>
  <c r="AA3" i="4"/>
  <c r="J4" i="4"/>
  <c r="L4" i="4" s="1"/>
  <c r="J5" i="4"/>
  <c r="L5" i="4" s="1"/>
  <c r="J6" i="4"/>
  <c r="L6" i="4" s="1"/>
  <c r="J7" i="4"/>
  <c r="L7" i="4" s="1"/>
  <c r="J8" i="4"/>
  <c r="L8" i="4" s="1"/>
  <c r="J9" i="4"/>
  <c r="L9" i="4" s="1"/>
  <c r="J10" i="4"/>
  <c r="L10" i="4" s="1"/>
  <c r="J11" i="4"/>
  <c r="L11" i="4" s="1"/>
  <c r="J12" i="4"/>
  <c r="L12" i="4" s="1"/>
  <c r="J13" i="4"/>
  <c r="L13" i="4" s="1"/>
  <c r="J14" i="4"/>
  <c r="L14" i="4" s="1"/>
  <c r="J15" i="4"/>
  <c r="L15" i="4" s="1"/>
  <c r="J16" i="4"/>
  <c r="L16" i="4" s="1"/>
  <c r="J17" i="4"/>
  <c r="L17" i="4" s="1"/>
  <c r="J18" i="4"/>
  <c r="L18" i="4" s="1"/>
  <c r="J19" i="4"/>
  <c r="L19" i="4" s="1"/>
  <c r="J20" i="4"/>
  <c r="L20" i="4" s="1"/>
  <c r="J21" i="4"/>
  <c r="L21" i="4" s="1"/>
  <c r="J22" i="4"/>
  <c r="L22" i="4" s="1"/>
  <c r="J23" i="4"/>
  <c r="L23" i="4" s="1"/>
  <c r="J24" i="4"/>
  <c r="L24" i="4" s="1"/>
  <c r="J25" i="4"/>
  <c r="L25" i="4" s="1"/>
  <c r="J26" i="4"/>
  <c r="L26" i="4" s="1"/>
  <c r="J27" i="4"/>
  <c r="L27" i="4" s="1"/>
  <c r="J28" i="4"/>
  <c r="L28" i="4" s="1"/>
  <c r="J29" i="4"/>
  <c r="L29" i="4" s="1"/>
  <c r="J30" i="4"/>
  <c r="L30" i="4" s="1"/>
  <c r="J31" i="4"/>
  <c r="L31" i="4" s="1"/>
  <c r="J32" i="4"/>
  <c r="L32" i="4" s="1"/>
  <c r="J33" i="4"/>
  <c r="L33" i="4" s="1"/>
  <c r="J34" i="4"/>
  <c r="L34" i="4" s="1"/>
  <c r="J35" i="4"/>
  <c r="L35" i="4" s="1"/>
  <c r="J36" i="4"/>
  <c r="L36" i="4" s="1"/>
  <c r="J37" i="4"/>
  <c r="L37" i="4" s="1"/>
  <c r="J38" i="4"/>
  <c r="L38" i="4" s="1"/>
  <c r="J39" i="4"/>
  <c r="L39" i="4" s="1"/>
  <c r="J40" i="4"/>
  <c r="L40" i="4" s="1"/>
  <c r="J41" i="4"/>
  <c r="L41" i="4" s="1"/>
  <c r="J42" i="4"/>
  <c r="L42" i="4" s="1"/>
  <c r="J43" i="4"/>
  <c r="L43" i="4" s="1"/>
  <c r="J44" i="4"/>
  <c r="L44" i="4" s="1"/>
  <c r="J45" i="4"/>
  <c r="L45" i="4" s="1"/>
  <c r="J46" i="4"/>
  <c r="L46" i="4" s="1"/>
  <c r="J47" i="4"/>
  <c r="L47" i="4" s="1"/>
  <c r="J48" i="4"/>
  <c r="L48" i="4" s="1"/>
  <c r="J49" i="4"/>
  <c r="L49" i="4" s="1"/>
  <c r="J50" i="4"/>
  <c r="L50" i="4" s="1"/>
  <c r="J51" i="4"/>
  <c r="L51" i="4" s="1"/>
  <c r="J52" i="4"/>
  <c r="L52" i="4" s="1"/>
  <c r="J53" i="4"/>
  <c r="L53" i="4" s="1"/>
  <c r="J54" i="4"/>
  <c r="L54" i="4" s="1"/>
  <c r="J55" i="4"/>
  <c r="L55" i="4" s="1"/>
  <c r="J56" i="4"/>
  <c r="L56" i="4" s="1"/>
  <c r="J57" i="4"/>
  <c r="L57" i="4" s="1"/>
  <c r="J58" i="4"/>
  <c r="L58" i="4" s="1"/>
  <c r="J59" i="4"/>
  <c r="L59" i="4" s="1"/>
  <c r="J60" i="4"/>
  <c r="L60" i="4" s="1"/>
  <c r="J61" i="4"/>
  <c r="L61" i="4" s="1"/>
  <c r="J62" i="4"/>
  <c r="L62" i="4" s="1"/>
  <c r="J63" i="4"/>
  <c r="L63" i="4" s="1"/>
  <c r="J64" i="4"/>
  <c r="L64" i="4" s="1"/>
  <c r="J65" i="4"/>
  <c r="L65" i="4" s="1"/>
  <c r="J66" i="4"/>
  <c r="L66" i="4" s="1"/>
  <c r="J67" i="4"/>
  <c r="L67" i="4" s="1"/>
  <c r="J68" i="4"/>
  <c r="L68" i="4" s="1"/>
  <c r="J69" i="4"/>
  <c r="L69" i="4" s="1"/>
  <c r="J70" i="4"/>
  <c r="L70" i="4" s="1"/>
  <c r="J71" i="4"/>
  <c r="L71" i="4" s="1"/>
  <c r="J72" i="4"/>
  <c r="L72" i="4" s="1"/>
  <c r="J73" i="4"/>
  <c r="L73" i="4" s="1"/>
  <c r="J74" i="4"/>
  <c r="L74" i="4" s="1"/>
  <c r="J75" i="4"/>
  <c r="L75" i="4" s="1"/>
  <c r="J76" i="4"/>
  <c r="L76" i="4" s="1"/>
  <c r="J77" i="4"/>
  <c r="L77" i="4" s="1"/>
  <c r="J78" i="4"/>
  <c r="L78" i="4" s="1"/>
  <c r="J79" i="4"/>
  <c r="L79" i="4" s="1"/>
  <c r="J80" i="4"/>
  <c r="L80" i="4" s="1"/>
  <c r="J81" i="4"/>
  <c r="L81" i="4" s="1"/>
  <c r="J82" i="4"/>
  <c r="L82" i="4" s="1"/>
  <c r="J83" i="4"/>
  <c r="L83" i="4" s="1"/>
  <c r="J84" i="4"/>
  <c r="L84" i="4" s="1"/>
  <c r="J85" i="4"/>
  <c r="L85" i="4" s="1"/>
  <c r="J86" i="4"/>
  <c r="L86" i="4" s="1"/>
  <c r="J87" i="4"/>
  <c r="L87" i="4" s="1"/>
  <c r="J88" i="4"/>
  <c r="L88" i="4" s="1"/>
  <c r="J89" i="4"/>
  <c r="L89" i="4" s="1"/>
  <c r="J90" i="4"/>
  <c r="L90" i="4" s="1"/>
  <c r="J91" i="4"/>
  <c r="L91" i="4" s="1"/>
  <c r="J92" i="4"/>
  <c r="L92" i="4" s="1"/>
  <c r="J93" i="4"/>
  <c r="L93" i="4" s="1"/>
  <c r="J94" i="4"/>
  <c r="L94" i="4" s="1"/>
  <c r="J95" i="4"/>
  <c r="L95" i="4" s="1"/>
  <c r="J96" i="4"/>
  <c r="L96" i="4" s="1"/>
  <c r="J97" i="4"/>
  <c r="L97" i="4" s="1"/>
  <c r="J98" i="4"/>
  <c r="L98" i="4" s="1"/>
  <c r="J99" i="4"/>
  <c r="L99" i="4" s="1"/>
  <c r="J100" i="4"/>
  <c r="L100" i="4" s="1"/>
  <c r="J101" i="4"/>
  <c r="L101" i="4" s="1"/>
  <c r="J102" i="4"/>
  <c r="L102" i="4" s="1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L116" i="4" s="1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L149" i="4" s="1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L181" i="4" s="1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L267" i="4" s="1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K287" i="4" s="1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L352" i="4" s="1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L437" i="4" s="1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L1003" i="4" s="1"/>
  <c r="J3" i="4"/>
  <c r="L3" i="4" s="1"/>
  <c r="AB4" i="4"/>
  <c r="AB5" i="4"/>
  <c r="AB3" i="4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E10" i="4"/>
  <c r="E9" i="4"/>
  <c r="E5" i="4"/>
  <c r="E4" i="4"/>
  <c r="D4" i="4"/>
  <c r="E2" i="4"/>
  <c r="L1001" i="4" l="1"/>
  <c r="K1001" i="4"/>
  <c r="L985" i="4"/>
  <c r="K985" i="4"/>
  <c r="L969" i="4"/>
  <c r="K969" i="4"/>
  <c r="L953" i="4"/>
  <c r="K953" i="4"/>
  <c r="L995" i="4"/>
  <c r="K995" i="4"/>
  <c r="L987" i="4"/>
  <c r="K987" i="4"/>
  <c r="L979" i="4"/>
  <c r="K979" i="4"/>
  <c r="L971" i="4"/>
  <c r="K971" i="4"/>
  <c r="L963" i="4"/>
  <c r="K963" i="4"/>
  <c r="L955" i="4"/>
  <c r="K955" i="4"/>
  <c r="L951" i="4"/>
  <c r="K951" i="4"/>
  <c r="L943" i="4"/>
  <c r="K943" i="4"/>
  <c r="L935" i="4"/>
  <c r="K935" i="4"/>
  <c r="L927" i="4"/>
  <c r="K927" i="4"/>
  <c r="L923" i="4"/>
  <c r="K923" i="4"/>
  <c r="L915" i="4"/>
  <c r="K915" i="4"/>
  <c r="L907" i="4"/>
  <c r="K907" i="4"/>
  <c r="L899" i="4"/>
  <c r="K899" i="4"/>
  <c r="L891" i="4"/>
  <c r="K891" i="4"/>
  <c r="L883" i="4"/>
  <c r="K883" i="4"/>
  <c r="L871" i="4"/>
  <c r="K871" i="4"/>
  <c r="L859" i="4"/>
  <c r="K859" i="4"/>
  <c r="L851" i="4"/>
  <c r="K851" i="4"/>
  <c r="L843" i="4"/>
  <c r="K843" i="4"/>
  <c r="L835" i="4"/>
  <c r="K835" i="4"/>
  <c r="L827" i="4"/>
  <c r="K827" i="4"/>
  <c r="L815" i="4"/>
  <c r="K815" i="4"/>
  <c r="L807" i="4"/>
  <c r="K807" i="4"/>
  <c r="L799" i="4"/>
  <c r="K799" i="4"/>
  <c r="L791" i="4"/>
  <c r="K791" i="4"/>
  <c r="L783" i="4"/>
  <c r="K783" i="4"/>
  <c r="L775" i="4"/>
  <c r="K775" i="4"/>
  <c r="L767" i="4"/>
  <c r="K767" i="4"/>
  <c r="L759" i="4"/>
  <c r="K759" i="4"/>
  <c r="L751" i="4"/>
  <c r="K751" i="4"/>
  <c r="L743" i="4"/>
  <c r="K743" i="4"/>
  <c r="L735" i="4"/>
  <c r="K735" i="4"/>
  <c r="L727" i="4"/>
  <c r="K727" i="4"/>
  <c r="L719" i="4"/>
  <c r="K719" i="4"/>
  <c r="L711" i="4"/>
  <c r="K711" i="4"/>
  <c r="L703" i="4"/>
  <c r="K703" i="4"/>
  <c r="L695" i="4"/>
  <c r="K695" i="4"/>
  <c r="L687" i="4"/>
  <c r="K687" i="4"/>
  <c r="L679" i="4"/>
  <c r="K679" i="4"/>
  <c r="L671" i="4"/>
  <c r="K671" i="4"/>
  <c r="L663" i="4"/>
  <c r="K663" i="4"/>
  <c r="L659" i="4"/>
  <c r="K659" i="4"/>
  <c r="L651" i="4"/>
  <c r="K651" i="4"/>
  <c r="L643" i="4"/>
  <c r="K643" i="4"/>
  <c r="L635" i="4"/>
  <c r="K635" i="4"/>
  <c r="L627" i="4"/>
  <c r="K627" i="4"/>
  <c r="L619" i="4"/>
  <c r="K619" i="4"/>
  <c r="L587" i="4"/>
  <c r="K587" i="4"/>
  <c r="L1002" i="4"/>
  <c r="K1002" i="4"/>
  <c r="L998" i="4"/>
  <c r="K998" i="4"/>
  <c r="L994" i="4"/>
  <c r="K994" i="4"/>
  <c r="L990" i="4"/>
  <c r="K990" i="4"/>
  <c r="L986" i="4"/>
  <c r="K986" i="4"/>
  <c r="L982" i="4"/>
  <c r="K982" i="4"/>
  <c r="L978" i="4"/>
  <c r="K978" i="4"/>
  <c r="L974" i="4"/>
  <c r="K974" i="4"/>
  <c r="L970" i="4"/>
  <c r="K970" i="4"/>
  <c r="L966" i="4"/>
  <c r="K966" i="4"/>
  <c r="L962" i="4"/>
  <c r="K962" i="4"/>
  <c r="L958" i="4"/>
  <c r="K958" i="4"/>
  <c r="L954" i="4"/>
  <c r="K954" i="4"/>
  <c r="L950" i="4"/>
  <c r="K950" i="4"/>
  <c r="L946" i="4"/>
  <c r="K946" i="4"/>
  <c r="L942" i="4"/>
  <c r="K942" i="4"/>
  <c r="L938" i="4"/>
  <c r="K938" i="4"/>
  <c r="L934" i="4"/>
  <c r="K934" i="4"/>
  <c r="L930" i="4"/>
  <c r="K930" i="4"/>
  <c r="L926" i="4"/>
  <c r="K926" i="4"/>
  <c r="L922" i="4"/>
  <c r="K922" i="4"/>
  <c r="L918" i="4"/>
  <c r="K918" i="4"/>
  <c r="L914" i="4"/>
  <c r="K914" i="4"/>
  <c r="L910" i="4"/>
  <c r="K910" i="4"/>
  <c r="L906" i="4"/>
  <c r="K906" i="4"/>
  <c r="L902" i="4"/>
  <c r="K902" i="4"/>
  <c r="L898" i="4"/>
  <c r="K898" i="4"/>
  <c r="L894" i="4"/>
  <c r="K894" i="4"/>
  <c r="L890" i="4"/>
  <c r="K890" i="4"/>
  <c r="L886" i="4"/>
  <c r="K886" i="4"/>
  <c r="L882" i="4"/>
  <c r="K882" i="4"/>
  <c r="L878" i="4"/>
  <c r="K878" i="4"/>
  <c r="L874" i="4"/>
  <c r="K874" i="4"/>
  <c r="L870" i="4"/>
  <c r="K870" i="4"/>
  <c r="L866" i="4"/>
  <c r="K866" i="4"/>
  <c r="L862" i="4"/>
  <c r="K862" i="4"/>
  <c r="L858" i="4"/>
  <c r="K858" i="4"/>
  <c r="L854" i="4"/>
  <c r="K854" i="4"/>
  <c r="L850" i="4"/>
  <c r="K850" i="4"/>
  <c r="L846" i="4"/>
  <c r="K846" i="4"/>
  <c r="L842" i="4"/>
  <c r="K842" i="4"/>
  <c r="L838" i="4"/>
  <c r="K838" i="4"/>
  <c r="L834" i="4"/>
  <c r="K834" i="4"/>
  <c r="L830" i="4"/>
  <c r="K830" i="4"/>
  <c r="L826" i="4"/>
  <c r="K826" i="4"/>
  <c r="L822" i="4"/>
  <c r="K822" i="4"/>
  <c r="L818" i="4"/>
  <c r="K818" i="4"/>
  <c r="L814" i="4"/>
  <c r="K814" i="4"/>
  <c r="L810" i="4"/>
  <c r="K810" i="4"/>
  <c r="L806" i="4"/>
  <c r="K806" i="4"/>
  <c r="L802" i="4"/>
  <c r="K802" i="4"/>
  <c r="L798" i="4"/>
  <c r="K798" i="4"/>
  <c r="L794" i="4"/>
  <c r="K794" i="4"/>
  <c r="L790" i="4"/>
  <c r="K790" i="4"/>
  <c r="L786" i="4"/>
  <c r="K786" i="4"/>
  <c r="L782" i="4"/>
  <c r="K782" i="4"/>
  <c r="L778" i="4"/>
  <c r="K778" i="4"/>
  <c r="L774" i="4"/>
  <c r="K774" i="4"/>
  <c r="L770" i="4"/>
  <c r="K770" i="4"/>
  <c r="L766" i="4"/>
  <c r="K766" i="4"/>
  <c r="L762" i="4"/>
  <c r="K762" i="4"/>
  <c r="L758" i="4"/>
  <c r="K758" i="4"/>
  <c r="L754" i="4"/>
  <c r="K754" i="4"/>
  <c r="L750" i="4"/>
  <c r="K750" i="4"/>
  <c r="L746" i="4"/>
  <c r="K746" i="4"/>
  <c r="L742" i="4"/>
  <c r="K742" i="4"/>
  <c r="L738" i="4"/>
  <c r="K738" i="4"/>
  <c r="L734" i="4"/>
  <c r="K734" i="4"/>
  <c r="L730" i="4"/>
  <c r="K730" i="4"/>
  <c r="L726" i="4"/>
  <c r="K726" i="4"/>
  <c r="L722" i="4"/>
  <c r="K722" i="4"/>
  <c r="L718" i="4"/>
  <c r="K718" i="4"/>
  <c r="L714" i="4"/>
  <c r="K714" i="4"/>
  <c r="L710" i="4"/>
  <c r="K710" i="4"/>
  <c r="L706" i="4"/>
  <c r="K706" i="4"/>
  <c r="L702" i="4"/>
  <c r="K702" i="4"/>
  <c r="L698" i="4"/>
  <c r="K698" i="4"/>
  <c r="L694" i="4"/>
  <c r="K694" i="4"/>
  <c r="L690" i="4"/>
  <c r="K690" i="4"/>
  <c r="L686" i="4"/>
  <c r="K686" i="4"/>
  <c r="L682" i="4"/>
  <c r="K682" i="4"/>
  <c r="L678" i="4"/>
  <c r="K678" i="4"/>
  <c r="L674" i="4"/>
  <c r="K674" i="4"/>
  <c r="L670" i="4"/>
  <c r="K670" i="4"/>
  <c r="L666" i="4"/>
  <c r="K666" i="4"/>
  <c r="L662" i="4"/>
  <c r="K662" i="4"/>
  <c r="L658" i="4"/>
  <c r="K658" i="4"/>
  <c r="L654" i="4"/>
  <c r="K654" i="4"/>
  <c r="L650" i="4"/>
  <c r="K650" i="4"/>
  <c r="L646" i="4"/>
  <c r="K646" i="4"/>
  <c r="L642" i="4"/>
  <c r="K642" i="4"/>
  <c r="L638" i="4"/>
  <c r="K638" i="4"/>
  <c r="L634" i="4"/>
  <c r="K634" i="4"/>
  <c r="L630" i="4"/>
  <c r="K630" i="4"/>
  <c r="L626" i="4"/>
  <c r="K626" i="4"/>
  <c r="L622" i="4"/>
  <c r="K622" i="4"/>
  <c r="L618" i="4"/>
  <c r="K618" i="4"/>
  <c r="L614" i="4"/>
  <c r="K614" i="4"/>
  <c r="L610" i="4"/>
  <c r="K610" i="4"/>
  <c r="L606" i="4"/>
  <c r="K606" i="4"/>
  <c r="L602" i="4"/>
  <c r="K602" i="4"/>
  <c r="L598" i="4"/>
  <c r="K598" i="4"/>
  <c r="L594" i="4"/>
  <c r="K594" i="4"/>
  <c r="L590" i="4"/>
  <c r="K590" i="4"/>
  <c r="L586" i="4"/>
  <c r="K586" i="4"/>
  <c r="L582" i="4"/>
  <c r="K582" i="4"/>
  <c r="L578" i="4"/>
  <c r="K578" i="4"/>
  <c r="L574" i="4"/>
  <c r="K574" i="4"/>
  <c r="L570" i="4"/>
  <c r="K570" i="4"/>
  <c r="L566" i="4"/>
  <c r="K566" i="4"/>
  <c r="L562" i="4"/>
  <c r="K562" i="4"/>
  <c r="L558" i="4"/>
  <c r="K558" i="4"/>
  <c r="L554" i="4"/>
  <c r="K554" i="4"/>
  <c r="L550" i="4"/>
  <c r="K550" i="4"/>
  <c r="L546" i="4"/>
  <c r="K546" i="4"/>
  <c r="L542" i="4"/>
  <c r="K542" i="4"/>
  <c r="L538" i="4"/>
  <c r="K538" i="4"/>
  <c r="L534" i="4"/>
  <c r="K534" i="4"/>
  <c r="L530" i="4"/>
  <c r="K530" i="4"/>
  <c r="L526" i="4"/>
  <c r="K526" i="4"/>
  <c r="L522" i="4"/>
  <c r="K522" i="4"/>
  <c r="L518" i="4"/>
  <c r="K518" i="4"/>
  <c r="L514" i="4"/>
  <c r="K514" i="4"/>
  <c r="L510" i="4"/>
  <c r="K510" i="4"/>
  <c r="L506" i="4"/>
  <c r="K506" i="4"/>
  <c r="L997" i="4"/>
  <c r="K997" i="4"/>
  <c r="L981" i="4"/>
  <c r="K981" i="4"/>
  <c r="L961" i="4"/>
  <c r="K961" i="4"/>
  <c r="L949" i="4"/>
  <c r="K949" i="4"/>
  <c r="L937" i="4"/>
  <c r="K937" i="4"/>
  <c r="L929" i="4"/>
  <c r="K929" i="4"/>
  <c r="L921" i="4"/>
  <c r="K921" i="4"/>
  <c r="L913" i="4"/>
  <c r="K913" i="4"/>
  <c r="L905" i="4"/>
  <c r="K905" i="4"/>
  <c r="L897" i="4"/>
  <c r="K897" i="4"/>
  <c r="L889" i="4"/>
  <c r="K889" i="4"/>
  <c r="L881" i="4"/>
  <c r="K881" i="4"/>
  <c r="L873" i="4"/>
  <c r="K873" i="4"/>
  <c r="L869" i="4"/>
  <c r="K869" i="4"/>
  <c r="L865" i="4"/>
  <c r="K865" i="4"/>
  <c r="L857" i="4"/>
  <c r="K857" i="4"/>
  <c r="L853" i="4"/>
  <c r="K853" i="4"/>
  <c r="L849" i="4"/>
  <c r="K849" i="4"/>
  <c r="L845" i="4"/>
  <c r="K845" i="4"/>
  <c r="L841" i="4"/>
  <c r="K841" i="4"/>
  <c r="L837" i="4"/>
  <c r="K837" i="4"/>
  <c r="L833" i="4"/>
  <c r="K833" i="4"/>
  <c r="L829" i="4"/>
  <c r="K829" i="4"/>
  <c r="L821" i="4"/>
  <c r="K821" i="4"/>
  <c r="L813" i="4"/>
  <c r="K813" i="4"/>
  <c r="L805" i="4"/>
  <c r="K805" i="4"/>
  <c r="L797" i="4"/>
  <c r="K797" i="4"/>
  <c r="L793" i="4"/>
  <c r="K793" i="4"/>
  <c r="L789" i="4"/>
  <c r="K789" i="4"/>
  <c r="L781" i="4"/>
  <c r="K781" i="4"/>
  <c r="L777" i="4"/>
  <c r="K777" i="4"/>
  <c r="L773" i="4"/>
  <c r="K773" i="4"/>
  <c r="L769" i="4"/>
  <c r="K769" i="4"/>
  <c r="L765" i="4"/>
  <c r="K765" i="4"/>
  <c r="L761" i="4"/>
  <c r="K761" i="4"/>
  <c r="L757" i="4"/>
  <c r="K757" i="4"/>
  <c r="L753" i="4"/>
  <c r="K753" i="4"/>
  <c r="L749" i="4"/>
  <c r="K749" i="4"/>
  <c r="L745" i="4"/>
  <c r="K745" i="4"/>
  <c r="L741" i="4"/>
  <c r="K741" i="4"/>
  <c r="L737" i="4"/>
  <c r="K737" i="4"/>
  <c r="L733" i="4"/>
  <c r="K733" i="4"/>
  <c r="L729" i="4"/>
  <c r="K729" i="4"/>
  <c r="L725" i="4"/>
  <c r="K725" i="4"/>
  <c r="L721" i="4"/>
  <c r="K721" i="4"/>
  <c r="L717" i="4"/>
  <c r="K717" i="4"/>
  <c r="L713" i="4"/>
  <c r="K713" i="4"/>
  <c r="L709" i="4"/>
  <c r="K709" i="4"/>
  <c r="L705" i="4"/>
  <c r="K705" i="4"/>
  <c r="L701" i="4"/>
  <c r="K701" i="4"/>
  <c r="L697" i="4"/>
  <c r="K697" i="4"/>
  <c r="L693" i="4"/>
  <c r="K693" i="4"/>
  <c r="L689" i="4"/>
  <c r="K689" i="4"/>
  <c r="L685" i="4"/>
  <c r="K685" i="4"/>
  <c r="L681" i="4"/>
  <c r="K681" i="4"/>
  <c r="L677" i="4"/>
  <c r="K677" i="4"/>
  <c r="L673" i="4"/>
  <c r="K673" i="4"/>
  <c r="L669" i="4"/>
  <c r="K669" i="4"/>
  <c r="L665" i="4"/>
  <c r="K665" i="4"/>
  <c r="L661" i="4"/>
  <c r="K661" i="4"/>
  <c r="L657" i="4"/>
  <c r="K657" i="4"/>
  <c r="L653" i="4"/>
  <c r="K653" i="4"/>
  <c r="L649" i="4"/>
  <c r="K649" i="4"/>
  <c r="L645" i="4"/>
  <c r="K645" i="4"/>
  <c r="L641" i="4"/>
  <c r="K641" i="4"/>
  <c r="L637" i="4"/>
  <c r="K637" i="4"/>
  <c r="L633" i="4"/>
  <c r="K633" i="4"/>
  <c r="L629" i="4"/>
  <c r="K629" i="4"/>
  <c r="L625" i="4"/>
  <c r="K625" i="4"/>
  <c r="L621" i="4"/>
  <c r="K621" i="4"/>
  <c r="L617" i="4"/>
  <c r="K617" i="4"/>
  <c r="L613" i="4"/>
  <c r="K613" i="4"/>
  <c r="L609" i="4"/>
  <c r="K609" i="4"/>
  <c r="L605" i="4"/>
  <c r="K605" i="4"/>
  <c r="L601" i="4"/>
  <c r="K601" i="4"/>
  <c r="L597" i="4"/>
  <c r="K597" i="4"/>
  <c r="L593" i="4"/>
  <c r="K593" i="4"/>
  <c r="L589" i="4"/>
  <c r="K589" i="4"/>
  <c r="L585" i="4"/>
  <c r="K585" i="4"/>
  <c r="L581" i="4"/>
  <c r="K581" i="4"/>
  <c r="L577" i="4"/>
  <c r="K577" i="4"/>
  <c r="L573" i="4"/>
  <c r="K573" i="4"/>
  <c r="L569" i="4"/>
  <c r="K569" i="4"/>
  <c r="L565" i="4"/>
  <c r="K565" i="4"/>
  <c r="L561" i="4"/>
  <c r="K561" i="4"/>
  <c r="L557" i="4"/>
  <c r="K557" i="4"/>
  <c r="L553" i="4"/>
  <c r="K553" i="4"/>
  <c r="L549" i="4"/>
  <c r="K549" i="4"/>
  <c r="L545" i="4"/>
  <c r="K545" i="4"/>
  <c r="L541" i="4"/>
  <c r="K541" i="4"/>
  <c r="L537" i="4"/>
  <c r="K537" i="4"/>
  <c r="L533" i="4"/>
  <c r="K533" i="4"/>
  <c r="L529" i="4"/>
  <c r="K529" i="4"/>
  <c r="L525" i="4"/>
  <c r="K525" i="4"/>
  <c r="L521" i="4"/>
  <c r="K521" i="4"/>
  <c r="L517" i="4"/>
  <c r="K517" i="4"/>
  <c r="L513" i="4"/>
  <c r="K513" i="4"/>
  <c r="L509" i="4"/>
  <c r="K509" i="4"/>
  <c r="L505" i="4"/>
  <c r="K505" i="4"/>
  <c r="L989" i="4"/>
  <c r="K989" i="4"/>
  <c r="L973" i="4"/>
  <c r="K973" i="4"/>
  <c r="L957" i="4"/>
  <c r="K957" i="4"/>
  <c r="L945" i="4"/>
  <c r="K945" i="4"/>
  <c r="L933" i="4"/>
  <c r="K933" i="4"/>
  <c r="L925" i="4"/>
  <c r="K925" i="4"/>
  <c r="L917" i="4"/>
  <c r="K917" i="4"/>
  <c r="L909" i="4"/>
  <c r="K909" i="4"/>
  <c r="L901" i="4"/>
  <c r="K901" i="4"/>
  <c r="L893" i="4"/>
  <c r="K893" i="4"/>
  <c r="L885" i="4"/>
  <c r="K885" i="4"/>
  <c r="L877" i="4"/>
  <c r="K877" i="4"/>
  <c r="L861" i="4"/>
  <c r="K861" i="4"/>
  <c r="L825" i="4"/>
  <c r="K825" i="4"/>
  <c r="L817" i="4"/>
  <c r="K817" i="4"/>
  <c r="L809" i="4"/>
  <c r="K809" i="4"/>
  <c r="L801" i="4"/>
  <c r="K801" i="4"/>
  <c r="L785" i="4"/>
  <c r="K785" i="4"/>
  <c r="L1000" i="4"/>
  <c r="K1000" i="4"/>
  <c r="L996" i="4"/>
  <c r="K996" i="4"/>
  <c r="L992" i="4"/>
  <c r="K992" i="4"/>
  <c r="L988" i="4"/>
  <c r="K988" i="4"/>
  <c r="L984" i="4"/>
  <c r="K984" i="4"/>
  <c r="L980" i="4"/>
  <c r="K980" i="4"/>
  <c r="L976" i="4"/>
  <c r="K976" i="4"/>
  <c r="L972" i="4"/>
  <c r="K972" i="4"/>
  <c r="L968" i="4"/>
  <c r="K968" i="4"/>
  <c r="L964" i="4"/>
  <c r="K964" i="4"/>
  <c r="L960" i="4"/>
  <c r="K960" i="4"/>
  <c r="L956" i="4"/>
  <c r="K956" i="4"/>
  <c r="L952" i="4"/>
  <c r="K952" i="4"/>
  <c r="L948" i="4"/>
  <c r="K948" i="4"/>
  <c r="L944" i="4"/>
  <c r="K944" i="4"/>
  <c r="L940" i="4"/>
  <c r="K940" i="4"/>
  <c r="L936" i="4"/>
  <c r="K936" i="4"/>
  <c r="L932" i="4"/>
  <c r="K932" i="4"/>
  <c r="L928" i="4"/>
  <c r="K928" i="4"/>
  <c r="L924" i="4"/>
  <c r="K924" i="4"/>
  <c r="L920" i="4"/>
  <c r="K920" i="4"/>
  <c r="L916" i="4"/>
  <c r="K916" i="4"/>
  <c r="L912" i="4"/>
  <c r="K912" i="4"/>
  <c r="L908" i="4"/>
  <c r="K908" i="4"/>
  <c r="L904" i="4"/>
  <c r="K904" i="4"/>
  <c r="L900" i="4"/>
  <c r="K900" i="4"/>
  <c r="L896" i="4"/>
  <c r="K896" i="4"/>
  <c r="L892" i="4"/>
  <c r="K892" i="4"/>
  <c r="L888" i="4"/>
  <c r="K888" i="4"/>
  <c r="L884" i="4"/>
  <c r="K884" i="4"/>
  <c r="L880" i="4"/>
  <c r="K880" i="4"/>
  <c r="L876" i="4"/>
  <c r="K876" i="4"/>
  <c r="L872" i="4"/>
  <c r="K872" i="4"/>
  <c r="L868" i="4"/>
  <c r="K868" i="4"/>
  <c r="L864" i="4"/>
  <c r="K864" i="4"/>
  <c r="L860" i="4"/>
  <c r="K860" i="4"/>
  <c r="L856" i="4"/>
  <c r="K856" i="4"/>
  <c r="L852" i="4"/>
  <c r="K852" i="4"/>
  <c r="L848" i="4"/>
  <c r="K848" i="4"/>
  <c r="L844" i="4"/>
  <c r="K844" i="4"/>
  <c r="L840" i="4"/>
  <c r="K840" i="4"/>
  <c r="L836" i="4"/>
  <c r="K836" i="4"/>
  <c r="L832" i="4"/>
  <c r="K832" i="4"/>
  <c r="L828" i="4"/>
  <c r="K828" i="4"/>
  <c r="L824" i="4"/>
  <c r="K824" i="4"/>
  <c r="L820" i="4"/>
  <c r="K820" i="4"/>
  <c r="L816" i="4"/>
  <c r="K816" i="4"/>
  <c r="L812" i="4"/>
  <c r="K812" i="4"/>
  <c r="L808" i="4"/>
  <c r="K808" i="4"/>
  <c r="L804" i="4"/>
  <c r="K804" i="4"/>
  <c r="L800" i="4"/>
  <c r="K800" i="4"/>
  <c r="L796" i="4"/>
  <c r="K796" i="4"/>
  <c r="L792" i="4"/>
  <c r="K792" i="4"/>
  <c r="L788" i="4"/>
  <c r="K788" i="4"/>
  <c r="L784" i="4"/>
  <c r="K784" i="4"/>
  <c r="L780" i="4"/>
  <c r="K780" i="4"/>
  <c r="L776" i="4"/>
  <c r="K776" i="4"/>
  <c r="L772" i="4"/>
  <c r="K772" i="4"/>
  <c r="L768" i="4"/>
  <c r="K768" i="4"/>
  <c r="L764" i="4"/>
  <c r="K764" i="4"/>
  <c r="L760" i="4"/>
  <c r="K760" i="4"/>
  <c r="L756" i="4"/>
  <c r="K756" i="4"/>
  <c r="L752" i="4"/>
  <c r="K752" i="4"/>
  <c r="L748" i="4"/>
  <c r="K748" i="4"/>
  <c r="L744" i="4"/>
  <c r="K744" i="4"/>
  <c r="L740" i="4"/>
  <c r="K740" i="4"/>
  <c r="L736" i="4"/>
  <c r="K736" i="4"/>
  <c r="L732" i="4"/>
  <c r="K732" i="4"/>
  <c r="L728" i="4"/>
  <c r="K728" i="4"/>
  <c r="L724" i="4"/>
  <c r="K724" i="4"/>
  <c r="L720" i="4"/>
  <c r="K720" i="4"/>
  <c r="L716" i="4"/>
  <c r="K716" i="4"/>
  <c r="L712" i="4"/>
  <c r="K712" i="4"/>
  <c r="L708" i="4"/>
  <c r="K708" i="4"/>
  <c r="L704" i="4"/>
  <c r="K704" i="4"/>
  <c r="L700" i="4"/>
  <c r="K700" i="4"/>
  <c r="L696" i="4"/>
  <c r="K696" i="4"/>
  <c r="L692" i="4"/>
  <c r="K692" i="4"/>
  <c r="L688" i="4"/>
  <c r="K688" i="4"/>
  <c r="L684" i="4"/>
  <c r="K684" i="4"/>
  <c r="L680" i="4"/>
  <c r="K680" i="4"/>
  <c r="L676" i="4"/>
  <c r="K676" i="4"/>
  <c r="L672" i="4"/>
  <c r="K672" i="4"/>
  <c r="L668" i="4"/>
  <c r="K668" i="4"/>
  <c r="L664" i="4"/>
  <c r="K664" i="4"/>
  <c r="L660" i="4"/>
  <c r="K660" i="4"/>
  <c r="L656" i="4"/>
  <c r="K656" i="4"/>
  <c r="L652" i="4"/>
  <c r="K652" i="4"/>
  <c r="L648" i="4"/>
  <c r="K648" i="4"/>
  <c r="L644" i="4"/>
  <c r="K644" i="4"/>
  <c r="L640" i="4"/>
  <c r="K640" i="4"/>
  <c r="L636" i="4"/>
  <c r="K636" i="4"/>
  <c r="L632" i="4"/>
  <c r="K632" i="4"/>
  <c r="L628" i="4"/>
  <c r="K628" i="4"/>
  <c r="L624" i="4"/>
  <c r="K624" i="4"/>
  <c r="L620" i="4"/>
  <c r="K620" i="4"/>
  <c r="L616" i="4"/>
  <c r="K616" i="4"/>
  <c r="L612" i="4"/>
  <c r="K612" i="4"/>
  <c r="L608" i="4"/>
  <c r="K608" i="4"/>
  <c r="L604" i="4"/>
  <c r="K604" i="4"/>
  <c r="L600" i="4"/>
  <c r="K600" i="4"/>
  <c r="L596" i="4"/>
  <c r="K596" i="4"/>
  <c r="L592" i="4"/>
  <c r="K592" i="4"/>
  <c r="L588" i="4"/>
  <c r="K588" i="4"/>
  <c r="L584" i="4"/>
  <c r="K584" i="4"/>
  <c r="L580" i="4"/>
  <c r="K580" i="4"/>
  <c r="L576" i="4"/>
  <c r="K576" i="4"/>
  <c r="L572" i="4"/>
  <c r="K572" i="4"/>
  <c r="L568" i="4"/>
  <c r="K568" i="4"/>
  <c r="L564" i="4"/>
  <c r="K564" i="4"/>
  <c r="L560" i="4"/>
  <c r="K560" i="4"/>
  <c r="L556" i="4"/>
  <c r="K556" i="4"/>
  <c r="L552" i="4"/>
  <c r="K552" i="4"/>
  <c r="L548" i="4"/>
  <c r="K548" i="4"/>
  <c r="L544" i="4"/>
  <c r="K544" i="4"/>
  <c r="L540" i="4"/>
  <c r="K540" i="4"/>
  <c r="L536" i="4"/>
  <c r="K536" i="4"/>
  <c r="L532" i="4"/>
  <c r="K532" i="4"/>
  <c r="L528" i="4"/>
  <c r="K528" i="4"/>
  <c r="L524" i="4"/>
  <c r="K524" i="4"/>
  <c r="L520" i="4"/>
  <c r="K520" i="4"/>
  <c r="L516" i="4"/>
  <c r="K516" i="4"/>
  <c r="L512" i="4"/>
  <c r="K512" i="4"/>
  <c r="L508" i="4"/>
  <c r="K508" i="4"/>
  <c r="L504" i="4"/>
  <c r="K504" i="4"/>
  <c r="L993" i="4"/>
  <c r="K993" i="4"/>
  <c r="L977" i="4"/>
  <c r="K977" i="4"/>
  <c r="L965" i="4"/>
  <c r="K965" i="4"/>
  <c r="L941" i="4"/>
  <c r="K941" i="4"/>
  <c r="L999" i="4"/>
  <c r="K999" i="4"/>
  <c r="L991" i="4"/>
  <c r="K991" i="4"/>
  <c r="L983" i="4"/>
  <c r="K983" i="4"/>
  <c r="L975" i="4"/>
  <c r="K975" i="4"/>
  <c r="L967" i="4"/>
  <c r="K967" i="4"/>
  <c r="L959" i="4"/>
  <c r="K959" i="4"/>
  <c r="L947" i="4"/>
  <c r="K947" i="4"/>
  <c r="L939" i="4"/>
  <c r="K939" i="4"/>
  <c r="L931" i="4"/>
  <c r="K931" i="4"/>
  <c r="L919" i="4"/>
  <c r="K919" i="4"/>
  <c r="L911" i="4"/>
  <c r="K911" i="4"/>
  <c r="L903" i="4"/>
  <c r="K903" i="4"/>
  <c r="L895" i="4"/>
  <c r="K895" i="4"/>
  <c r="L887" i="4"/>
  <c r="K887" i="4"/>
  <c r="L879" i="4"/>
  <c r="K879" i="4"/>
  <c r="L875" i="4"/>
  <c r="K875" i="4"/>
  <c r="L867" i="4"/>
  <c r="K867" i="4"/>
  <c r="L863" i="4"/>
  <c r="K863" i="4"/>
  <c r="L855" i="4"/>
  <c r="K855" i="4"/>
  <c r="L847" i="4"/>
  <c r="K847" i="4"/>
  <c r="L839" i="4"/>
  <c r="K839" i="4"/>
  <c r="L831" i="4"/>
  <c r="K831" i="4"/>
  <c r="L823" i="4"/>
  <c r="K823" i="4"/>
  <c r="L819" i="4"/>
  <c r="K819" i="4"/>
  <c r="L811" i="4"/>
  <c r="K811" i="4"/>
  <c r="L803" i="4"/>
  <c r="K803" i="4"/>
  <c r="L795" i="4"/>
  <c r="K795" i="4"/>
  <c r="L787" i="4"/>
  <c r="K787" i="4"/>
  <c r="L779" i="4"/>
  <c r="K779" i="4"/>
  <c r="L771" i="4"/>
  <c r="K771" i="4"/>
  <c r="L763" i="4"/>
  <c r="K763" i="4"/>
  <c r="L755" i="4"/>
  <c r="K755" i="4"/>
  <c r="L747" i="4"/>
  <c r="K747" i="4"/>
  <c r="L739" i="4"/>
  <c r="K739" i="4"/>
  <c r="L731" i="4"/>
  <c r="K731" i="4"/>
  <c r="L723" i="4"/>
  <c r="K723" i="4"/>
  <c r="L715" i="4"/>
  <c r="K715" i="4"/>
  <c r="L707" i="4"/>
  <c r="K707" i="4"/>
  <c r="L699" i="4"/>
  <c r="K699" i="4"/>
  <c r="L691" i="4"/>
  <c r="K691" i="4"/>
  <c r="L683" i="4"/>
  <c r="K683" i="4"/>
  <c r="L675" i="4"/>
  <c r="K675" i="4"/>
  <c r="L667" i="4"/>
  <c r="K667" i="4"/>
  <c r="L655" i="4"/>
  <c r="K655" i="4"/>
  <c r="L647" i="4"/>
  <c r="K647" i="4"/>
  <c r="L639" i="4"/>
  <c r="K639" i="4"/>
  <c r="L631" i="4"/>
  <c r="K631" i="4"/>
  <c r="L623" i="4"/>
  <c r="K623" i="4"/>
  <c r="L615" i="4"/>
  <c r="K615" i="4"/>
  <c r="L611" i="4"/>
  <c r="K611" i="4"/>
  <c r="L607" i="4"/>
  <c r="K607" i="4"/>
  <c r="L603" i="4"/>
  <c r="K603" i="4"/>
  <c r="L599" i="4"/>
  <c r="K599" i="4"/>
  <c r="L595" i="4"/>
  <c r="K595" i="4"/>
  <c r="L591" i="4"/>
  <c r="K591" i="4"/>
  <c r="L583" i="4"/>
  <c r="K583" i="4"/>
  <c r="L579" i="4"/>
  <c r="K579" i="4"/>
  <c r="L575" i="4"/>
  <c r="K575" i="4"/>
  <c r="L571" i="4"/>
  <c r="K571" i="4"/>
  <c r="L567" i="4"/>
  <c r="K567" i="4"/>
  <c r="L563" i="4"/>
  <c r="K563" i="4"/>
  <c r="L559" i="4"/>
  <c r="K559" i="4"/>
  <c r="L555" i="4"/>
  <c r="K555" i="4"/>
  <c r="L551" i="4"/>
  <c r="K551" i="4"/>
  <c r="L547" i="4"/>
  <c r="K547" i="4"/>
  <c r="L543" i="4"/>
  <c r="K543" i="4"/>
  <c r="L539" i="4"/>
  <c r="K539" i="4"/>
  <c r="K535" i="4"/>
  <c r="L535" i="4"/>
  <c r="K531" i="4"/>
  <c r="L531" i="4"/>
  <c r="K527" i="4"/>
  <c r="L527" i="4"/>
  <c r="K523" i="4"/>
  <c r="L523" i="4"/>
  <c r="K519" i="4"/>
  <c r="L519" i="4"/>
  <c r="K515" i="4"/>
  <c r="L515" i="4"/>
  <c r="K511" i="4"/>
  <c r="L511" i="4"/>
  <c r="K507" i="4"/>
  <c r="L507" i="4"/>
  <c r="L503" i="4"/>
  <c r="K503" i="4"/>
  <c r="A1" i="1"/>
  <c r="L456" i="4"/>
  <c r="K456" i="4"/>
  <c r="L400" i="4"/>
  <c r="K400" i="4"/>
  <c r="L312" i="4"/>
  <c r="K312" i="4"/>
  <c r="L256" i="4"/>
  <c r="K256" i="4"/>
  <c r="L192" i="4"/>
  <c r="K192" i="4"/>
  <c r="L128" i="4"/>
  <c r="K128" i="4"/>
  <c r="L482" i="4"/>
  <c r="K482" i="4"/>
  <c r="L497" i="4"/>
  <c r="K497" i="4"/>
  <c r="L489" i="4"/>
  <c r="K489" i="4"/>
  <c r="L481" i="4"/>
  <c r="K481" i="4"/>
  <c r="L473" i="4"/>
  <c r="K473" i="4"/>
  <c r="L465" i="4"/>
  <c r="K465" i="4"/>
  <c r="L457" i="4"/>
  <c r="K457" i="4"/>
  <c r="L449" i="4"/>
  <c r="K449" i="4"/>
  <c r="L441" i="4"/>
  <c r="K441" i="4"/>
  <c r="L433" i="4"/>
  <c r="K433" i="4"/>
  <c r="L425" i="4"/>
  <c r="K425" i="4"/>
  <c r="L417" i="4"/>
  <c r="K417" i="4"/>
  <c r="L409" i="4"/>
  <c r="K409" i="4"/>
  <c r="L401" i="4"/>
  <c r="K401" i="4"/>
  <c r="L393" i="4"/>
  <c r="K393" i="4"/>
  <c r="L385" i="4"/>
  <c r="K385" i="4"/>
  <c r="K377" i="4"/>
  <c r="L377" i="4"/>
  <c r="L369" i="4"/>
  <c r="K369" i="4"/>
  <c r="L361" i="4"/>
  <c r="K361" i="4"/>
  <c r="L353" i="4"/>
  <c r="K353" i="4"/>
  <c r="L345" i="4"/>
  <c r="K345" i="4"/>
  <c r="L337" i="4"/>
  <c r="K337" i="4"/>
  <c r="L329" i="4"/>
  <c r="K329" i="4"/>
  <c r="L321" i="4"/>
  <c r="K321" i="4"/>
  <c r="L313" i="4"/>
  <c r="K313" i="4"/>
  <c r="L305" i="4"/>
  <c r="K305" i="4"/>
  <c r="L297" i="4"/>
  <c r="K297" i="4"/>
  <c r="L289" i="4"/>
  <c r="K289" i="4"/>
  <c r="L281" i="4"/>
  <c r="K281" i="4"/>
  <c r="L273" i="4"/>
  <c r="K273" i="4"/>
  <c r="L265" i="4"/>
  <c r="K265" i="4"/>
  <c r="L257" i="4"/>
  <c r="K257" i="4"/>
  <c r="K249" i="4"/>
  <c r="L249" i="4"/>
  <c r="L241" i="4"/>
  <c r="K241" i="4"/>
  <c r="L233" i="4"/>
  <c r="K233" i="4"/>
  <c r="L225" i="4"/>
  <c r="K225" i="4"/>
  <c r="L217" i="4"/>
  <c r="K217" i="4"/>
  <c r="L209" i="4"/>
  <c r="K209" i="4"/>
  <c r="L201" i="4"/>
  <c r="K201" i="4"/>
  <c r="L193" i="4"/>
  <c r="K193" i="4"/>
  <c r="K185" i="4"/>
  <c r="L185" i="4"/>
  <c r="L488" i="4"/>
  <c r="K488" i="4"/>
  <c r="L416" i="4"/>
  <c r="K416" i="4"/>
  <c r="L376" i="4"/>
  <c r="K376" i="4"/>
  <c r="L360" i="4"/>
  <c r="K360" i="4"/>
  <c r="L296" i="4"/>
  <c r="K296" i="4"/>
  <c r="L232" i="4"/>
  <c r="K232" i="4"/>
  <c r="L144" i="4"/>
  <c r="K144" i="4"/>
  <c r="K437" i="4"/>
  <c r="L464" i="4"/>
  <c r="K464" i="4"/>
  <c r="L392" i="4"/>
  <c r="K392" i="4"/>
  <c r="L320" i="4"/>
  <c r="K320" i="4"/>
  <c r="L264" i="4"/>
  <c r="K264" i="4"/>
  <c r="L208" i="4"/>
  <c r="K208" i="4"/>
  <c r="L152" i="4"/>
  <c r="K152" i="4"/>
  <c r="L502" i="4"/>
  <c r="K502" i="4"/>
  <c r="L494" i="4"/>
  <c r="K494" i="4"/>
  <c r="L486" i="4"/>
  <c r="K486" i="4"/>
  <c r="L478" i="4"/>
  <c r="K478" i="4"/>
  <c r="K470" i="4"/>
  <c r="L470" i="4"/>
  <c r="L462" i="4"/>
  <c r="K462" i="4"/>
  <c r="L454" i="4"/>
  <c r="K454" i="4"/>
  <c r="L446" i="4"/>
  <c r="K446" i="4"/>
  <c r="L438" i="4"/>
  <c r="K438" i="4"/>
  <c r="L430" i="4"/>
  <c r="K430" i="4"/>
  <c r="L422" i="4"/>
  <c r="K422" i="4"/>
  <c r="K414" i="4"/>
  <c r="L414" i="4"/>
  <c r="L406" i="4"/>
  <c r="K406" i="4"/>
  <c r="L398" i="4"/>
  <c r="K398" i="4"/>
  <c r="K390" i="4"/>
  <c r="L390" i="4"/>
  <c r="L382" i="4"/>
  <c r="K382" i="4"/>
  <c r="L374" i="4"/>
  <c r="K374" i="4"/>
  <c r="L366" i="4"/>
  <c r="K366" i="4"/>
  <c r="L358" i="4"/>
  <c r="K358" i="4"/>
  <c r="L350" i="4"/>
  <c r="K350" i="4"/>
  <c r="L342" i="4"/>
  <c r="K342" i="4"/>
  <c r="L334" i="4"/>
  <c r="K334" i="4"/>
  <c r="K326" i="4"/>
  <c r="L326" i="4"/>
  <c r="L318" i="4"/>
  <c r="K318" i="4"/>
  <c r="L310" i="4"/>
  <c r="K310" i="4"/>
  <c r="L302" i="4"/>
  <c r="K302" i="4"/>
  <c r="L294" i="4"/>
  <c r="K294" i="4"/>
  <c r="L286" i="4"/>
  <c r="K286" i="4"/>
  <c r="L278" i="4"/>
  <c r="K278" i="4"/>
  <c r="L270" i="4"/>
  <c r="K270" i="4"/>
  <c r="K262" i="4"/>
  <c r="L262" i="4"/>
  <c r="L254" i="4"/>
  <c r="K254" i="4"/>
  <c r="L246" i="4"/>
  <c r="K246" i="4"/>
  <c r="L238" i="4"/>
  <c r="K238" i="4"/>
  <c r="L230" i="4"/>
  <c r="K230" i="4"/>
  <c r="L222" i="4"/>
  <c r="K222" i="4"/>
  <c r="L214" i="4"/>
  <c r="K214" i="4"/>
  <c r="L206" i="4"/>
  <c r="K206" i="4"/>
  <c r="K198" i="4"/>
  <c r="L198" i="4"/>
  <c r="L190" i="4"/>
  <c r="K190" i="4"/>
  <c r="L182" i="4"/>
  <c r="K182" i="4"/>
  <c r="L174" i="4"/>
  <c r="K174" i="4"/>
  <c r="L166" i="4"/>
  <c r="K166" i="4"/>
  <c r="L158" i="4"/>
  <c r="K158" i="4"/>
  <c r="L150" i="4"/>
  <c r="K150" i="4"/>
  <c r="L142" i="4"/>
  <c r="K142" i="4"/>
  <c r="L134" i="4"/>
  <c r="K134" i="4"/>
  <c r="L126" i="4"/>
  <c r="K126" i="4"/>
  <c r="K352" i="4"/>
  <c r="L472" i="4"/>
  <c r="K472" i="4"/>
  <c r="L424" i="4"/>
  <c r="K424" i="4"/>
  <c r="L368" i="4"/>
  <c r="K368" i="4"/>
  <c r="L328" i="4"/>
  <c r="K328" i="4"/>
  <c r="L288" i="4"/>
  <c r="K288" i="4"/>
  <c r="L240" i="4"/>
  <c r="K240" i="4"/>
  <c r="L184" i="4"/>
  <c r="K184" i="4"/>
  <c r="L136" i="4"/>
  <c r="K136" i="4"/>
  <c r="L112" i="4"/>
  <c r="K112" i="4"/>
  <c r="L501" i="4"/>
  <c r="K501" i="4"/>
  <c r="L493" i="4"/>
  <c r="K493" i="4"/>
  <c r="L485" i="4"/>
  <c r="K485" i="4"/>
  <c r="L477" i="4"/>
  <c r="K477" i="4"/>
  <c r="L469" i="4"/>
  <c r="K469" i="4"/>
  <c r="K461" i="4"/>
  <c r="L461" i="4"/>
  <c r="L453" i="4"/>
  <c r="K453" i="4"/>
  <c r="L445" i="4"/>
  <c r="K445" i="4"/>
  <c r="L429" i="4"/>
  <c r="K429" i="4"/>
  <c r="L421" i="4"/>
  <c r="K421" i="4"/>
  <c r="L413" i="4"/>
  <c r="K413" i="4"/>
  <c r="L405" i="4"/>
  <c r="K405" i="4"/>
  <c r="L397" i="4"/>
  <c r="K397" i="4"/>
  <c r="L389" i="4"/>
  <c r="K389" i="4"/>
  <c r="L381" i="4"/>
  <c r="K381" i="4"/>
  <c r="L373" i="4"/>
  <c r="K373" i="4"/>
  <c r="K365" i="4"/>
  <c r="L365" i="4"/>
  <c r="L357" i="4"/>
  <c r="K357" i="4"/>
  <c r="L349" i="4"/>
  <c r="K349" i="4"/>
  <c r="L341" i="4"/>
  <c r="K341" i="4"/>
  <c r="L333" i="4"/>
  <c r="K333" i="4"/>
  <c r="L325" i="4"/>
  <c r="K325" i="4"/>
  <c r="L317" i="4"/>
  <c r="K317" i="4"/>
  <c r="L309" i="4"/>
  <c r="K309" i="4"/>
  <c r="K301" i="4"/>
  <c r="L301" i="4"/>
  <c r="L293" i="4"/>
  <c r="K293" i="4"/>
  <c r="L285" i="4"/>
  <c r="K285" i="4"/>
  <c r="L277" i="4"/>
  <c r="K277" i="4"/>
  <c r="L269" i="4"/>
  <c r="K269" i="4"/>
  <c r="L261" i="4"/>
  <c r="K261" i="4"/>
  <c r="L253" i="4"/>
  <c r="K253" i="4"/>
  <c r="L245" i="4"/>
  <c r="K245" i="4"/>
  <c r="K237" i="4"/>
  <c r="L237" i="4"/>
  <c r="L229" i="4"/>
  <c r="K229" i="4"/>
  <c r="L221" i="4"/>
  <c r="K221" i="4"/>
  <c r="L213" i="4"/>
  <c r="K213" i="4"/>
  <c r="L205" i="4"/>
  <c r="K205" i="4"/>
  <c r="L197" i="4"/>
  <c r="K197" i="4"/>
  <c r="L189" i="4"/>
  <c r="K189" i="4"/>
  <c r="K267" i="4"/>
  <c r="L496" i="4"/>
  <c r="K496" i="4"/>
  <c r="L440" i="4"/>
  <c r="K440" i="4"/>
  <c r="L384" i="4"/>
  <c r="K384" i="4"/>
  <c r="L344" i="4"/>
  <c r="K344" i="4"/>
  <c r="L280" i="4"/>
  <c r="K280" i="4"/>
  <c r="L224" i="4"/>
  <c r="K224" i="4"/>
  <c r="L176" i="4"/>
  <c r="K176" i="4"/>
  <c r="L500" i="4"/>
  <c r="K500" i="4"/>
  <c r="L492" i="4"/>
  <c r="K492" i="4"/>
  <c r="L484" i="4"/>
  <c r="K484" i="4"/>
  <c r="L476" i="4"/>
  <c r="K476" i="4"/>
  <c r="L468" i="4"/>
  <c r="K468" i="4"/>
  <c r="L460" i="4"/>
  <c r="K460" i="4"/>
  <c r="K452" i="4"/>
  <c r="L452" i="4"/>
  <c r="L444" i="4"/>
  <c r="K444" i="4"/>
  <c r="L436" i="4"/>
  <c r="K436" i="4"/>
  <c r="L428" i="4"/>
  <c r="K428" i="4"/>
  <c r="L420" i="4"/>
  <c r="K420" i="4"/>
  <c r="L412" i="4"/>
  <c r="K412" i="4"/>
  <c r="L404" i="4"/>
  <c r="K404" i="4"/>
  <c r="L396" i="4"/>
  <c r="K396" i="4"/>
  <c r="L388" i="4"/>
  <c r="K388" i="4"/>
  <c r="L380" i="4"/>
  <c r="K380" i="4"/>
  <c r="L372" i="4"/>
  <c r="K372" i="4"/>
  <c r="L364" i="4"/>
  <c r="K364" i="4"/>
  <c r="L356" i="4"/>
  <c r="K356" i="4"/>
  <c r="L348" i="4"/>
  <c r="K348" i="4"/>
  <c r="L340" i="4"/>
  <c r="K340" i="4"/>
  <c r="L332" i="4"/>
  <c r="K332" i="4"/>
  <c r="L324" i="4"/>
  <c r="K324" i="4"/>
  <c r="L316" i="4"/>
  <c r="K316" i="4"/>
  <c r="L308" i="4"/>
  <c r="K308" i="4"/>
  <c r="L300" i="4"/>
  <c r="K300" i="4"/>
  <c r="L292" i="4"/>
  <c r="K292" i="4"/>
  <c r="L284" i="4"/>
  <c r="K284" i="4"/>
  <c r="L276" i="4"/>
  <c r="K276" i="4"/>
  <c r="L268" i="4"/>
  <c r="K268" i="4"/>
  <c r="L260" i="4"/>
  <c r="K260" i="4"/>
  <c r="L252" i="4"/>
  <c r="K252" i="4"/>
  <c r="L244" i="4"/>
  <c r="K244" i="4"/>
  <c r="L236" i="4"/>
  <c r="K236" i="4"/>
  <c r="L228" i="4"/>
  <c r="K228" i="4"/>
  <c r="L220" i="4"/>
  <c r="K220" i="4"/>
  <c r="L212" i="4"/>
  <c r="K212" i="4"/>
  <c r="L204" i="4"/>
  <c r="K204" i="4"/>
  <c r="K181" i="4"/>
  <c r="L448" i="4"/>
  <c r="K448" i="4"/>
  <c r="L408" i="4"/>
  <c r="K408" i="4"/>
  <c r="L336" i="4"/>
  <c r="K336" i="4"/>
  <c r="L272" i="4"/>
  <c r="K272" i="4"/>
  <c r="L216" i="4"/>
  <c r="K216" i="4"/>
  <c r="L160" i="4"/>
  <c r="K160" i="4"/>
  <c r="L104" i="4"/>
  <c r="K104" i="4"/>
  <c r="L499" i="4"/>
  <c r="K499" i="4"/>
  <c r="L491" i="4"/>
  <c r="K491" i="4"/>
  <c r="L483" i="4"/>
  <c r="K483" i="4"/>
  <c r="L475" i="4"/>
  <c r="K475" i="4"/>
  <c r="L467" i="4"/>
  <c r="K467" i="4"/>
  <c r="L459" i="4"/>
  <c r="K459" i="4"/>
  <c r="L451" i="4"/>
  <c r="K451" i="4"/>
  <c r="K443" i="4"/>
  <c r="L443" i="4"/>
  <c r="L435" i="4"/>
  <c r="K435" i="4"/>
  <c r="L427" i="4"/>
  <c r="K427" i="4"/>
  <c r="L419" i="4"/>
  <c r="K419" i="4"/>
  <c r="L411" i="4"/>
  <c r="K411" i="4"/>
  <c r="L403" i="4"/>
  <c r="K403" i="4"/>
  <c r="L395" i="4"/>
  <c r="K395" i="4"/>
  <c r="L387" i="4"/>
  <c r="K387" i="4"/>
  <c r="L379" i="4"/>
  <c r="K379" i="4"/>
  <c r="L371" i="4"/>
  <c r="K371" i="4"/>
  <c r="L363" i="4"/>
  <c r="K363" i="4"/>
  <c r="L355" i="4"/>
  <c r="K355" i="4"/>
  <c r="L347" i="4"/>
  <c r="K347" i="4"/>
  <c r="L339" i="4"/>
  <c r="K339" i="4"/>
  <c r="L331" i="4"/>
  <c r="K331" i="4"/>
  <c r="L323" i="4"/>
  <c r="K323" i="4"/>
  <c r="L315" i="4"/>
  <c r="K315" i="4"/>
  <c r="L307" i="4"/>
  <c r="K307" i="4"/>
  <c r="L299" i="4"/>
  <c r="K299" i="4"/>
  <c r="L291" i="4"/>
  <c r="K291" i="4"/>
  <c r="L283" i="4"/>
  <c r="K283" i="4"/>
  <c r="L275" i="4"/>
  <c r="K275" i="4"/>
  <c r="L259" i="4"/>
  <c r="K259" i="4"/>
  <c r="L251" i="4"/>
  <c r="K251" i="4"/>
  <c r="L243" i="4"/>
  <c r="K243" i="4"/>
  <c r="L235" i="4"/>
  <c r="K235" i="4"/>
  <c r="L227" i="4"/>
  <c r="K227" i="4"/>
  <c r="L219" i="4"/>
  <c r="K219" i="4"/>
  <c r="L211" i="4"/>
  <c r="K211" i="4"/>
  <c r="L203" i="4"/>
  <c r="K203" i="4"/>
  <c r="L195" i="4"/>
  <c r="K195" i="4"/>
  <c r="L187" i="4"/>
  <c r="K187" i="4"/>
  <c r="L179" i="4"/>
  <c r="K179" i="4"/>
  <c r="L171" i="4"/>
  <c r="K171" i="4"/>
  <c r="L163" i="4"/>
  <c r="K163" i="4"/>
  <c r="L155" i="4"/>
  <c r="K155" i="4"/>
  <c r="L147" i="4"/>
  <c r="K147" i="4"/>
  <c r="L139" i="4"/>
  <c r="K139" i="4"/>
  <c r="L131" i="4"/>
  <c r="K131" i="4"/>
  <c r="L123" i="4"/>
  <c r="K123" i="4"/>
  <c r="L115" i="4"/>
  <c r="K115" i="4"/>
  <c r="L107" i="4"/>
  <c r="K107" i="4"/>
  <c r="L480" i="4"/>
  <c r="K480" i="4"/>
  <c r="L432" i="4"/>
  <c r="K432" i="4"/>
  <c r="L304" i="4"/>
  <c r="K304" i="4"/>
  <c r="L248" i="4"/>
  <c r="K248" i="4"/>
  <c r="L200" i="4"/>
  <c r="K200" i="4"/>
  <c r="L168" i="4"/>
  <c r="K168" i="4"/>
  <c r="L120" i="4"/>
  <c r="K120" i="4"/>
  <c r="L498" i="4"/>
  <c r="K498" i="4"/>
  <c r="L490" i="4"/>
  <c r="K490" i="4"/>
  <c r="L474" i="4"/>
  <c r="K474" i="4"/>
  <c r="L466" i="4"/>
  <c r="K466" i="4"/>
  <c r="L458" i="4"/>
  <c r="K458" i="4"/>
  <c r="K450" i="4"/>
  <c r="L450" i="4"/>
  <c r="K442" i="4"/>
  <c r="L442" i="4"/>
  <c r="K434" i="4"/>
  <c r="L434" i="4"/>
  <c r="K426" i="4"/>
  <c r="L426" i="4"/>
  <c r="L418" i="4"/>
  <c r="K418" i="4"/>
  <c r="L410" i="4"/>
  <c r="K410" i="4"/>
  <c r="K402" i="4"/>
  <c r="L402" i="4"/>
  <c r="L394" i="4"/>
  <c r="K394" i="4"/>
  <c r="K386" i="4"/>
  <c r="L386" i="4"/>
  <c r="K378" i="4"/>
  <c r="L378" i="4"/>
  <c r="L370" i="4"/>
  <c r="K370" i="4"/>
  <c r="K362" i="4"/>
  <c r="L362" i="4"/>
  <c r="L354" i="4"/>
  <c r="K354" i="4"/>
  <c r="L346" i="4"/>
  <c r="K346" i="4"/>
  <c r="K338" i="4"/>
  <c r="L338" i="4"/>
  <c r="L330" i="4"/>
  <c r="K330" i="4"/>
  <c r="K322" i="4"/>
  <c r="L322" i="4"/>
  <c r="K314" i="4"/>
  <c r="L314" i="4"/>
  <c r="L306" i="4"/>
  <c r="K306" i="4"/>
  <c r="K298" i="4"/>
  <c r="L298" i="4"/>
  <c r="L290" i="4"/>
  <c r="K290" i="4"/>
  <c r="L282" i="4"/>
  <c r="K282" i="4"/>
  <c r="K274" i="4"/>
  <c r="L274" i="4"/>
  <c r="L266" i="4"/>
  <c r="K266" i="4"/>
  <c r="K258" i="4"/>
  <c r="L258" i="4"/>
  <c r="K250" i="4"/>
  <c r="L250" i="4"/>
  <c r="L242" i="4"/>
  <c r="K242" i="4"/>
  <c r="K234" i="4"/>
  <c r="L234" i="4"/>
  <c r="L226" i="4"/>
  <c r="K226" i="4"/>
  <c r="L218" i="4"/>
  <c r="K218" i="4"/>
  <c r="K210" i="4"/>
  <c r="L210" i="4"/>
  <c r="L202" i="4"/>
  <c r="K202" i="4"/>
  <c r="K194" i="4"/>
  <c r="L194" i="4"/>
  <c r="K186" i="4"/>
  <c r="L186" i="4"/>
  <c r="L178" i="4"/>
  <c r="K178" i="4"/>
  <c r="L170" i="4"/>
  <c r="K170" i="4"/>
  <c r="L162" i="4"/>
  <c r="K162" i="4"/>
  <c r="L154" i="4"/>
  <c r="K154" i="4"/>
  <c r="L146" i="4"/>
  <c r="K146" i="4"/>
  <c r="L138" i="4"/>
  <c r="K138" i="4"/>
  <c r="L130" i="4"/>
  <c r="K130" i="4"/>
  <c r="L122" i="4"/>
  <c r="K122" i="4"/>
  <c r="L114" i="4"/>
  <c r="K114" i="4"/>
  <c r="L106" i="4"/>
  <c r="K106" i="4"/>
  <c r="L177" i="4"/>
  <c r="K177" i="4"/>
  <c r="L169" i="4"/>
  <c r="K169" i="4"/>
  <c r="L161" i="4"/>
  <c r="K161" i="4"/>
  <c r="L153" i="4"/>
  <c r="K153" i="4"/>
  <c r="L145" i="4"/>
  <c r="K145" i="4"/>
  <c r="L137" i="4"/>
  <c r="K137" i="4"/>
  <c r="L129" i="4"/>
  <c r="K129" i="4"/>
  <c r="L121" i="4"/>
  <c r="K121" i="4"/>
  <c r="L113" i="4"/>
  <c r="K113" i="4"/>
  <c r="L105" i="4"/>
  <c r="K105" i="4"/>
  <c r="L495" i="4"/>
  <c r="K495" i="4"/>
  <c r="L487" i="4"/>
  <c r="K487" i="4"/>
  <c r="K479" i="4"/>
  <c r="L479" i="4"/>
  <c r="L471" i="4"/>
  <c r="K471" i="4"/>
  <c r="L463" i="4"/>
  <c r="K463" i="4"/>
  <c r="L455" i="4"/>
  <c r="K455" i="4"/>
  <c r="L447" i="4"/>
  <c r="K447" i="4"/>
  <c r="L439" i="4"/>
  <c r="K439" i="4"/>
  <c r="L431" i="4"/>
  <c r="K431" i="4"/>
  <c r="L423" i="4"/>
  <c r="K423" i="4"/>
  <c r="L415" i="4"/>
  <c r="K415" i="4"/>
  <c r="L407" i="4"/>
  <c r="K407" i="4"/>
  <c r="L399" i="4"/>
  <c r="K399" i="4"/>
  <c r="L391" i="4"/>
  <c r="K391" i="4"/>
  <c r="L383" i="4"/>
  <c r="K383" i="4"/>
  <c r="L375" i="4"/>
  <c r="K375" i="4"/>
  <c r="L367" i="4"/>
  <c r="K367" i="4"/>
  <c r="L359" i="4"/>
  <c r="K359" i="4"/>
  <c r="L351" i="4"/>
  <c r="K351" i="4"/>
  <c r="L343" i="4"/>
  <c r="K343" i="4"/>
  <c r="L335" i="4"/>
  <c r="K335" i="4"/>
  <c r="L327" i="4"/>
  <c r="K327" i="4"/>
  <c r="L319" i="4"/>
  <c r="K319" i="4"/>
  <c r="L311" i="4"/>
  <c r="K311" i="4"/>
  <c r="L303" i="4"/>
  <c r="K303" i="4"/>
  <c r="L295" i="4"/>
  <c r="K295" i="4"/>
  <c r="M288" i="4"/>
  <c r="I287" i="4"/>
  <c r="L279" i="4"/>
  <c r="K279" i="4"/>
  <c r="L271" i="4"/>
  <c r="K271" i="4"/>
  <c r="L263" i="4"/>
  <c r="K263" i="4"/>
  <c r="L255" i="4"/>
  <c r="K255" i="4"/>
  <c r="L247" i="4"/>
  <c r="K247" i="4"/>
  <c r="L239" i="4"/>
  <c r="K239" i="4"/>
  <c r="L231" i="4"/>
  <c r="K231" i="4"/>
  <c r="L223" i="4"/>
  <c r="K223" i="4"/>
  <c r="L215" i="4"/>
  <c r="K215" i="4"/>
  <c r="L207" i="4"/>
  <c r="K207" i="4"/>
  <c r="L199" i="4"/>
  <c r="K199" i="4"/>
  <c r="L191" i="4"/>
  <c r="K191" i="4"/>
  <c r="L183" i="4"/>
  <c r="K183" i="4"/>
  <c r="L175" i="4"/>
  <c r="K175" i="4"/>
  <c r="L167" i="4"/>
  <c r="K167" i="4"/>
  <c r="L159" i="4"/>
  <c r="K159" i="4"/>
  <c r="L151" i="4"/>
  <c r="K151" i="4"/>
  <c r="L143" i="4"/>
  <c r="K143" i="4"/>
  <c r="L135" i="4"/>
  <c r="K135" i="4"/>
  <c r="L127" i="4"/>
  <c r="K127" i="4"/>
  <c r="K119" i="4"/>
  <c r="L119" i="4"/>
  <c r="K111" i="4"/>
  <c r="L111" i="4"/>
  <c r="L103" i="4"/>
  <c r="K103" i="4"/>
  <c r="K149" i="4"/>
  <c r="L118" i="4"/>
  <c r="K118" i="4"/>
  <c r="L110" i="4"/>
  <c r="K110" i="4"/>
  <c r="K173" i="4"/>
  <c r="L173" i="4"/>
  <c r="L165" i="4"/>
  <c r="K165" i="4"/>
  <c r="L157" i="4"/>
  <c r="K157" i="4"/>
  <c r="L141" i="4"/>
  <c r="K141" i="4"/>
  <c r="L133" i="4"/>
  <c r="K133" i="4"/>
  <c r="L125" i="4"/>
  <c r="K125" i="4"/>
  <c r="L117" i="4"/>
  <c r="K117" i="4"/>
  <c r="L109" i="4"/>
  <c r="K109" i="4"/>
  <c r="H287" i="4"/>
  <c r="L196" i="4"/>
  <c r="K196" i="4"/>
  <c r="L188" i="4"/>
  <c r="K188" i="4"/>
  <c r="L180" i="4"/>
  <c r="K180" i="4"/>
  <c r="L172" i="4"/>
  <c r="K172" i="4"/>
  <c r="L164" i="4"/>
  <c r="K164" i="4"/>
  <c r="L156" i="4"/>
  <c r="K156" i="4"/>
  <c r="L148" i="4"/>
  <c r="K148" i="4"/>
  <c r="L140" i="4"/>
  <c r="K140" i="4"/>
  <c r="L132" i="4"/>
  <c r="K132" i="4"/>
  <c r="L124" i="4"/>
  <c r="K124" i="4"/>
  <c r="L108" i="4"/>
  <c r="K108" i="4"/>
  <c r="K116" i="4"/>
  <c r="L287" i="4"/>
  <c r="M504" i="4"/>
  <c r="K9" i="4"/>
  <c r="K17" i="4"/>
  <c r="K25" i="4"/>
  <c r="K33" i="4"/>
  <c r="K41" i="4"/>
  <c r="K5" i="4"/>
  <c r="K13" i="4"/>
  <c r="K21" i="4"/>
  <c r="K29" i="4"/>
  <c r="K37" i="4"/>
  <c r="K45" i="4"/>
  <c r="K8" i="4"/>
  <c r="K19" i="4"/>
  <c r="K30" i="4"/>
  <c r="K40" i="4"/>
  <c r="K50" i="4"/>
  <c r="K58" i="4"/>
  <c r="K66" i="4"/>
  <c r="K74" i="4"/>
  <c r="K82" i="4"/>
  <c r="K90" i="4"/>
  <c r="K98" i="4"/>
  <c r="K10" i="4"/>
  <c r="K20" i="4"/>
  <c r="M21" i="4" s="1"/>
  <c r="K31" i="4"/>
  <c r="K42" i="4"/>
  <c r="K51" i="4"/>
  <c r="K59" i="4"/>
  <c r="K67" i="4"/>
  <c r="K75" i="4"/>
  <c r="K83" i="4"/>
  <c r="K91" i="4"/>
  <c r="K99" i="4"/>
  <c r="K11" i="4"/>
  <c r="K22" i="4"/>
  <c r="K32" i="4"/>
  <c r="M33" i="4" s="1"/>
  <c r="K43" i="4"/>
  <c r="K52" i="4"/>
  <c r="K60" i="4"/>
  <c r="K68" i="4"/>
  <c r="K76" i="4"/>
  <c r="K84" i="4"/>
  <c r="K92" i="4"/>
  <c r="K100" i="4"/>
  <c r="K12" i="4"/>
  <c r="K23" i="4"/>
  <c r="K34" i="4"/>
  <c r="K44" i="4"/>
  <c r="K53" i="4"/>
  <c r="K61" i="4"/>
  <c r="K69" i="4"/>
  <c r="K77" i="4"/>
  <c r="K85" i="4"/>
  <c r="K93" i="4"/>
  <c r="K101" i="4"/>
  <c r="K14" i="4"/>
  <c r="K24" i="4"/>
  <c r="M25" i="4" s="1"/>
  <c r="K35" i="4"/>
  <c r="K46" i="4"/>
  <c r="K54" i="4"/>
  <c r="K62" i="4"/>
  <c r="K70" i="4"/>
  <c r="K78" i="4"/>
  <c r="K86" i="4"/>
  <c r="K94" i="4"/>
  <c r="K102" i="4"/>
  <c r="K4" i="4"/>
  <c r="K15" i="4"/>
  <c r="K26" i="4"/>
  <c r="K36" i="4"/>
  <c r="K47" i="4"/>
  <c r="K55" i="4"/>
  <c r="K63" i="4"/>
  <c r="K71" i="4"/>
  <c r="K79" i="4"/>
  <c r="K87" i="4"/>
  <c r="K95" i="4"/>
  <c r="K6" i="4"/>
  <c r="K16" i="4"/>
  <c r="K27" i="4"/>
  <c r="K38" i="4"/>
  <c r="K48" i="4"/>
  <c r="K56" i="4"/>
  <c r="K64" i="4"/>
  <c r="K72" i="4"/>
  <c r="K80" i="4"/>
  <c r="K88" i="4"/>
  <c r="K96" i="4"/>
  <c r="K7" i="4"/>
  <c r="K18" i="4"/>
  <c r="K28" i="4"/>
  <c r="K39" i="4"/>
  <c r="K49" i="4"/>
  <c r="K57" i="4"/>
  <c r="K65" i="4"/>
  <c r="K73" i="4"/>
  <c r="K81" i="4"/>
  <c r="K89" i="4"/>
  <c r="K97" i="4"/>
  <c r="K3" i="4"/>
  <c r="D5" i="4"/>
  <c r="I503" i="4" l="1"/>
  <c r="H503" i="4"/>
  <c r="M544" i="4"/>
  <c r="I543" i="4"/>
  <c r="H543" i="4"/>
  <c r="M552" i="4"/>
  <c r="I551" i="4"/>
  <c r="H551" i="4"/>
  <c r="M560" i="4"/>
  <c r="I559" i="4"/>
  <c r="H559" i="4"/>
  <c r="M568" i="4"/>
  <c r="I567" i="4"/>
  <c r="H567" i="4"/>
  <c r="M576" i="4"/>
  <c r="I575" i="4"/>
  <c r="H575" i="4"/>
  <c r="M584" i="4"/>
  <c r="I583" i="4"/>
  <c r="H583" i="4"/>
  <c r="M596" i="4"/>
  <c r="I595" i="4"/>
  <c r="H595" i="4"/>
  <c r="M604" i="4"/>
  <c r="I603" i="4"/>
  <c r="H603" i="4"/>
  <c r="M612" i="4"/>
  <c r="I611" i="4"/>
  <c r="H611" i="4"/>
  <c r="M624" i="4"/>
  <c r="I623" i="4"/>
  <c r="H623" i="4"/>
  <c r="M640" i="4"/>
  <c r="I639" i="4"/>
  <c r="H639" i="4"/>
  <c r="M656" i="4"/>
  <c r="I655" i="4"/>
  <c r="H655" i="4"/>
  <c r="M676" i="4"/>
  <c r="I675" i="4"/>
  <c r="H675" i="4"/>
  <c r="M692" i="4"/>
  <c r="I691" i="4"/>
  <c r="H691" i="4"/>
  <c r="M708" i="4"/>
  <c r="I707" i="4"/>
  <c r="H707" i="4"/>
  <c r="M724" i="4"/>
  <c r="I723" i="4"/>
  <c r="H723" i="4"/>
  <c r="M740" i="4"/>
  <c r="I739" i="4"/>
  <c r="H739" i="4"/>
  <c r="M756" i="4"/>
  <c r="I755" i="4"/>
  <c r="H755" i="4"/>
  <c r="M772" i="4"/>
  <c r="I771" i="4"/>
  <c r="H771" i="4"/>
  <c r="M788" i="4"/>
  <c r="I787" i="4"/>
  <c r="H787" i="4"/>
  <c r="M804" i="4"/>
  <c r="I803" i="4"/>
  <c r="H803" i="4"/>
  <c r="M820" i="4"/>
  <c r="I819" i="4"/>
  <c r="H819" i="4"/>
  <c r="M832" i="4"/>
  <c r="I831" i="4"/>
  <c r="H831" i="4"/>
  <c r="M848" i="4"/>
  <c r="I847" i="4"/>
  <c r="H847" i="4"/>
  <c r="M864" i="4"/>
  <c r="I863" i="4"/>
  <c r="H863" i="4"/>
  <c r="M876" i="4"/>
  <c r="I875" i="4"/>
  <c r="H875" i="4"/>
  <c r="M888" i="4"/>
  <c r="I887" i="4"/>
  <c r="H887" i="4"/>
  <c r="M904" i="4"/>
  <c r="I903" i="4"/>
  <c r="H903" i="4"/>
  <c r="M920" i="4"/>
  <c r="I919" i="4"/>
  <c r="H919" i="4"/>
  <c r="M940" i="4"/>
  <c r="I939" i="4"/>
  <c r="H939" i="4"/>
  <c r="M960" i="4"/>
  <c r="I959" i="4"/>
  <c r="H959" i="4"/>
  <c r="M976" i="4"/>
  <c r="I975" i="4"/>
  <c r="H975" i="4"/>
  <c r="M992" i="4"/>
  <c r="I991" i="4"/>
  <c r="H991" i="4"/>
  <c r="M942" i="4"/>
  <c r="I941" i="4"/>
  <c r="H941" i="4"/>
  <c r="M978" i="4"/>
  <c r="I977" i="4"/>
  <c r="H977" i="4"/>
  <c r="M505" i="4"/>
  <c r="I504" i="4"/>
  <c r="H504" i="4"/>
  <c r="M513" i="4"/>
  <c r="H512" i="4"/>
  <c r="I512" i="4"/>
  <c r="M521" i="4"/>
  <c r="I520" i="4"/>
  <c r="H520" i="4"/>
  <c r="M529" i="4"/>
  <c r="H528" i="4"/>
  <c r="I528" i="4"/>
  <c r="M537" i="4"/>
  <c r="I536" i="4"/>
  <c r="H536" i="4"/>
  <c r="M545" i="4"/>
  <c r="H544" i="4"/>
  <c r="I544" i="4"/>
  <c r="M553" i="4"/>
  <c r="I552" i="4"/>
  <c r="H552" i="4"/>
  <c r="M561" i="4"/>
  <c r="H560" i="4"/>
  <c r="I560" i="4"/>
  <c r="M569" i="4"/>
  <c r="I568" i="4"/>
  <c r="H568" i="4"/>
  <c r="M577" i="4"/>
  <c r="H576" i="4"/>
  <c r="I576" i="4"/>
  <c r="M585" i="4"/>
  <c r="I584" i="4"/>
  <c r="H584" i="4"/>
  <c r="M593" i="4"/>
  <c r="H592" i="4"/>
  <c r="I592" i="4"/>
  <c r="M601" i="4"/>
  <c r="I600" i="4"/>
  <c r="H600" i="4"/>
  <c r="M609" i="4"/>
  <c r="H608" i="4"/>
  <c r="I608" i="4"/>
  <c r="M617" i="4"/>
  <c r="I616" i="4"/>
  <c r="H616" i="4"/>
  <c r="M625" i="4"/>
  <c r="H624" i="4"/>
  <c r="I624" i="4"/>
  <c r="M633" i="4"/>
  <c r="I632" i="4"/>
  <c r="H632" i="4"/>
  <c r="M641" i="4"/>
  <c r="H640" i="4"/>
  <c r="I640" i="4"/>
  <c r="M649" i="4"/>
  <c r="I648" i="4"/>
  <c r="H648" i="4"/>
  <c r="M657" i="4"/>
  <c r="H656" i="4"/>
  <c r="I656" i="4"/>
  <c r="M665" i="4"/>
  <c r="I664" i="4"/>
  <c r="H664" i="4"/>
  <c r="M673" i="4"/>
  <c r="H672" i="4"/>
  <c r="I672" i="4"/>
  <c r="M681" i="4"/>
  <c r="I680" i="4"/>
  <c r="H680" i="4"/>
  <c r="M689" i="4"/>
  <c r="H688" i="4"/>
  <c r="I688" i="4"/>
  <c r="M697" i="4"/>
  <c r="I696" i="4"/>
  <c r="H696" i="4"/>
  <c r="M705" i="4"/>
  <c r="I704" i="4"/>
  <c r="H704" i="4"/>
  <c r="M713" i="4"/>
  <c r="I712" i="4"/>
  <c r="H712" i="4"/>
  <c r="M721" i="4"/>
  <c r="I720" i="4"/>
  <c r="H720" i="4"/>
  <c r="M729" i="4"/>
  <c r="I728" i="4"/>
  <c r="H728" i="4"/>
  <c r="M737" i="4"/>
  <c r="I736" i="4"/>
  <c r="H736" i="4"/>
  <c r="M745" i="4"/>
  <c r="I744" i="4"/>
  <c r="H744" i="4"/>
  <c r="M753" i="4"/>
  <c r="I752" i="4"/>
  <c r="H752" i="4"/>
  <c r="M761" i="4"/>
  <c r="I760" i="4"/>
  <c r="H760" i="4"/>
  <c r="M769" i="4"/>
  <c r="I768" i="4"/>
  <c r="H768" i="4"/>
  <c r="M777" i="4"/>
  <c r="I776" i="4"/>
  <c r="H776" i="4"/>
  <c r="M785" i="4"/>
  <c r="I784" i="4"/>
  <c r="H784" i="4"/>
  <c r="M793" i="4"/>
  <c r="I792" i="4"/>
  <c r="H792" i="4"/>
  <c r="M801" i="4"/>
  <c r="I800" i="4"/>
  <c r="H800" i="4"/>
  <c r="M809" i="4"/>
  <c r="I808" i="4"/>
  <c r="H808" i="4"/>
  <c r="M817" i="4"/>
  <c r="I816" i="4"/>
  <c r="H816" i="4"/>
  <c r="M825" i="4"/>
  <c r="I824" i="4"/>
  <c r="H824" i="4"/>
  <c r="M833" i="4"/>
  <c r="I832" i="4"/>
  <c r="H832" i="4"/>
  <c r="M841" i="4"/>
  <c r="I840" i="4"/>
  <c r="H840" i="4"/>
  <c r="M849" i="4"/>
  <c r="I848" i="4"/>
  <c r="H848" i="4"/>
  <c r="M857" i="4"/>
  <c r="I856" i="4"/>
  <c r="H856" i="4"/>
  <c r="M865" i="4"/>
  <c r="I864" i="4"/>
  <c r="H864" i="4"/>
  <c r="M873" i="4"/>
  <c r="I872" i="4"/>
  <c r="H872" i="4"/>
  <c r="M881" i="4"/>
  <c r="I880" i="4"/>
  <c r="H880" i="4"/>
  <c r="M889" i="4"/>
  <c r="I888" i="4"/>
  <c r="H888" i="4"/>
  <c r="M897" i="4"/>
  <c r="I896" i="4"/>
  <c r="H896" i="4"/>
  <c r="M905" i="4"/>
  <c r="I904" i="4"/>
  <c r="H904" i="4"/>
  <c r="M913" i="4"/>
  <c r="I912" i="4"/>
  <c r="H912" i="4"/>
  <c r="M921" i="4"/>
  <c r="I920" i="4"/>
  <c r="H920" i="4"/>
  <c r="M929" i="4"/>
  <c r="I928" i="4"/>
  <c r="H928" i="4"/>
  <c r="M937" i="4"/>
  <c r="I936" i="4"/>
  <c r="H936" i="4"/>
  <c r="M945" i="4"/>
  <c r="I944" i="4"/>
  <c r="H944" i="4"/>
  <c r="M953" i="4"/>
  <c r="I952" i="4"/>
  <c r="H952" i="4"/>
  <c r="M961" i="4"/>
  <c r="I960" i="4"/>
  <c r="H960" i="4"/>
  <c r="M969" i="4"/>
  <c r="I968" i="4"/>
  <c r="H968" i="4"/>
  <c r="M977" i="4"/>
  <c r="I976" i="4"/>
  <c r="H976" i="4"/>
  <c r="M985" i="4"/>
  <c r="I984" i="4"/>
  <c r="H984" i="4"/>
  <c r="M993" i="4"/>
  <c r="I992" i="4"/>
  <c r="H992" i="4"/>
  <c r="M1001" i="4"/>
  <c r="I1000" i="4"/>
  <c r="H1000" i="4"/>
  <c r="M802" i="4"/>
  <c r="I801" i="4"/>
  <c r="H801" i="4"/>
  <c r="M818" i="4"/>
  <c r="I817" i="4"/>
  <c r="H817" i="4"/>
  <c r="M862" i="4"/>
  <c r="I861" i="4"/>
  <c r="H861" i="4"/>
  <c r="M886" i="4"/>
  <c r="I885" i="4"/>
  <c r="H885" i="4"/>
  <c r="M902" i="4"/>
  <c r="I901" i="4"/>
  <c r="H901" i="4"/>
  <c r="M918" i="4"/>
  <c r="I917" i="4"/>
  <c r="H917" i="4"/>
  <c r="M934" i="4"/>
  <c r="I933" i="4"/>
  <c r="H933" i="4"/>
  <c r="M958" i="4"/>
  <c r="I957" i="4"/>
  <c r="H957" i="4"/>
  <c r="M990" i="4"/>
  <c r="I989" i="4"/>
  <c r="H989" i="4"/>
  <c r="M510" i="4"/>
  <c r="I509" i="4"/>
  <c r="H509" i="4"/>
  <c r="M518" i="4"/>
  <c r="H517" i="4"/>
  <c r="I517" i="4"/>
  <c r="M526" i="4"/>
  <c r="I525" i="4"/>
  <c r="H525" i="4"/>
  <c r="M534" i="4"/>
  <c r="H533" i="4"/>
  <c r="I533" i="4"/>
  <c r="M542" i="4"/>
  <c r="I541" i="4"/>
  <c r="H541" i="4"/>
  <c r="M550" i="4"/>
  <c r="H549" i="4"/>
  <c r="I549" i="4"/>
  <c r="M558" i="4"/>
  <c r="I557" i="4"/>
  <c r="H557" i="4"/>
  <c r="M566" i="4"/>
  <c r="H565" i="4"/>
  <c r="I565" i="4"/>
  <c r="M574" i="4"/>
  <c r="I573" i="4"/>
  <c r="H573" i="4"/>
  <c r="M582" i="4"/>
  <c r="H581" i="4"/>
  <c r="I581" i="4"/>
  <c r="M590" i="4"/>
  <c r="I589" i="4"/>
  <c r="H589" i="4"/>
  <c r="M598" i="4"/>
  <c r="H597" i="4"/>
  <c r="I597" i="4"/>
  <c r="M606" i="4"/>
  <c r="I605" i="4"/>
  <c r="H605" i="4"/>
  <c r="M614" i="4"/>
  <c r="H613" i="4"/>
  <c r="I613" i="4"/>
  <c r="M622" i="4"/>
  <c r="I621" i="4"/>
  <c r="H621" i="4"/>
  <c r="M630" i="4"/>
  <c r="H629" i="4"/>
  <c r="I629" i="4"/>
  <c r="M638" i="4"/>
  <c r="I637" i="4"/>
  <c r="H637" i="4"/>
  <c r="M646" i="4"/>
  <c r="H645" i="4"/>
  <c r="I645" i="4"/>
  <c r="M654" i="4"/>
  <c r="I653" i="4"/>
  <c r="H653" i="4"/>
  <c r="M662" i="4"/>
  <c r="H661" i="4"/>
  <c r="I661" i="4"/>
  <c r="M670" i="4"/>
  <c r="I669" i="4"/>
  <c r="H669" i="4"/>
  <c r="M678" i="4"/>
  <c r="H677" i="4"/>
  <c r="I677" i="4"/>
  <c r="M686" i="4"/>
  <c r="I685" i="4"/>
  <c r="H685" i="4"/>
  <c r="M694" i="4"/>
  <c r="I693" i="4"/>
  <c r="H693" i="4"/>
  <c r="M702" i="4"/>
  <c r="I701" i="4"/>
  <c r="H701" i="4"/>
  <c r="M710" i="4"/>
  <c r="I709" i="4"/>
  <c r="H709" i="4"/>
  <c r="M718" i="4"/>
  <c r="I717" i="4"/>
  <c r="H717" i="4"/>
  <c r="M726" i="4"/>
  <c r="I725" i="4"/>
  <c r="H725" i="4"/>
  <c r="M734" i="4"/>
  <c r="I733" i="4"/>
  <c r="H733" i="4"/>
  <c r="M742" i="4"/>
  <c r="I741" i="4"/>
  <c r="H741" i="4"/>
  <c r="M750" i="4"/>
  <c r="I749" i="4"/>
  <c r="H749" i="4"/>
  <c r="M758" i="4"/>
  <c r="I757" i="4"/>
  <c r="H757" i="4"/>
  <c r="M766" i="4"/>
  <c r="I765" i="4"/>
  <c r="H765" i="4"/>
  <c r="M774" i="4"/>
  <c r="I773" i="4"/>
  <c r="H773" i="4"/>
  <c r="M782" i="4"/>
  <c r="I781" i="4"/>
  <c r="H781" i="4"/>
  <c r="M794" i="4"/>
  <c r="I793" i="4"/>
  <c r="H793" i="4"/>
  <c r="M806" i="4"/>
  <c r="I805" i="4"/>
  <c r="H805" i="4"/>
  <c r="M822" i="4"/>
  <c r="I821" i="4"/>
  <c r="H821" i="4"/>
  <c r="M834" i="4"/>
  <c r="I833" i="4"/>
  <c r="H833" i="4"/>
  <c r="M842" i="4"/>
  <c r="I841" i="4"/>
  <c r="H841" i="4"/>
  <c r="M850" i="4"/>
  <c r="I849" i="4"/>
  <c r="H849" i="4"/>
  <c r="M858" i="4"/>
  <c r="I857" i="4"/>
  <c r="H857" i="4"/>
  <c r="M870" i="4"/>
  <c r="I869" i="4"/>
  <c r="H869" i="4"/>
  <c r="M882" i="4"/>
  <c r="I881" i="4"/>
  <c r="H881" i="4"/>
  <c r="M898" i="4"/>
  <c r="I897" i="4"/>
  <c r="H897" i="4"/>
  <c r="M914" i="4"/>
  <c r="I913" i="4"/>
  <c r="H913" i="4"/>
  <c r="M930" i="4"/>
  <c r="I929" i="4"/>
  <c r="H929" i="4"/>
  <c r="M950" i="4"/>
  <c r="I949" i="4"/>
  <c r="H949" i="4"/>
  <c r="M982" i="4"/>
  <c r="I981" i="4"/>
  <c r="H981" i="4"/>
  <c r="M507" i="4"/>
  <c r="I506" i="4"/>
  <c r="H506" i="4"/>
  <c r="M515" i="4"/>
  <c r="I514" i="4"/>
  <c r="H514" i="4"/>
  <c r="M523" i="4"/>
  <c r="I522" i="4"/>
  <c r="H522" i="4"/>
  <c r="M531" i="4"/>
  <c r="I530" i="4"/>
  <c r="H530" i="4"/>
  <c r="M539" i="4"/>
  <c r="I538" i="4"/>
  <c r="H538" i="4"/>
  <c r="M547" i="4"/>
  <c r="I546" i="4"/>
  <c r="H546" i="4"/>
  <c r="M555" i="4"/>
  <c r="I554" i="4"/>
  <c r="H554" i="4"/>
  <c r="M563" i="4"/>
  <c r="I562" i="4"/>
  <c r="H562" i="4"/>
  <c r="M571" i="4"/>
  <c r="I570" i="4"/>
  <c r="H570" i="4"/>
  <c r="M579" i="4"/>
  <c r="I578" i="4"/>
  <c r="H578" i="4"/>
  <c r="M587" i="4"/>
  <c r="I586" i="4"/>
  <c r="H586" i="4"/>
  <c r="M595" i="4"/>
  <c r="I594" i="4"/>
  <c r="H594" i="4"/>
  <c r="M603" i="4"/>
  <c r="I602" i="4"/>
  <c r="H602" i="4"/>
  <c r="M611" i="4"/>
  <c r="I610" i="4"/>
  <c r="H610" i="4"/>
  <c r="M619" i="4"/>
  <c r="I618" i="4"/>
  <c r="H618" i="4"/>
  <c r="M627" i="4"/>
  <c r="I626" i="4"/>
  <c r="H626" i="4"/>
  <c r="M635" i="4"/>
  <c r="I634" i="4"/>
  <c r="H634" i="4"/>
  <c r="M643" i="4"/>
  <c r="I642" i="4"/>
  <c r="H642" i="4"/>
  <c r="M651" i="4"/>
  <c r="I650" i="4"/>
  <c r="H650" i="4"/>
  <c r="M659" i="4"/>
  <c r="I658" i="4"/>
  <c r="H658" i="4"/>
  <c r="M667" i="4"/>
  <c r="I666" i="4"/>
  <c r="H666" i="4"/>
  <c r="M675" i="4"/>
  <c r="I674" i="4"/>
  <c r="H674" i="4"/>
  <c r="M683" i="4"/>
  <c r="I682" i="4"/>
  <c r="H682" i="4"/>
  <c r="M691" i="4"/>
  <c r="I690" i="4"/>
  <c r="H690" i="4"/>
  <c r="M699" i="4"/>
  <c r="I698" i="4"/>
  <c r="H698" i="4"/>
  <c r="M707" i="4"/>
  <c r="I706" i="4"/>
  <c r="H706" i="4"/>
  <c r="M715" i="4"/>
  <c r="I714" i="4"/>
  <c r="H714" i="4"/>
  <c r="M723" i="4"/>
  <c r="I722" i="4"/>
  <c r="H722" i="4"/>
  <c r="M731" i="4"/>
  <c r="I730" i="4"/>
  <c r="H730" i="4"/>
  <c r="M739" i="4"/>
  <c r="I738" i="4"/>
  <c r="H738" i="4"/>
  <c r="M747" i="4"/>
  <c r="I746" i="4"/>
  <c r="H746" i="4"/>
  <c r="M755" i="4"/>
  <c r="I754" i="4"/>
  <c r="H754" i="4"/>
  <c r="M763" i="4"/>
  <c r="I762" i="4"/>
  <c r="H762" i="4"/>
  <c r="M771" i="4"/>
  <c r="I770" i="4"/>
  <c r="H770" i="4"/>
  <c r="M779" i="4"/>
  <c r="I778" i="4"/>
  <c r="H778" i="4"/>
  <c r="M787" i="4"/>
  <c r="I786" i="4"/>
  <c r="H786" i="4"/>
  <c r="M795" i="4"/>
  <c r="I794" i="4"/>
  <c r="H794" i="4"/>
  <c r="M803" i="4"/>
  <c r="I802" i="4"/>
  <c r="H802" i="4"/>
  <c r="M811" i="4"/>
  <c r="I810" i="4"/>
  <c r="H810" i="4"/>
  <c r="M819" i="4"/>
  <c r="I818" i="4"/>
  <c r="H818" i="4"/>
  <c r="M827" i="4"/>
  <c r="I826" i="4"/>
  <c r="H826" i="4"/>
  <c r="M835" i="4"/>
  <c r="I834" i="4"/>
  <c r="H834" i="4"/>
  <c r="M843" i="4"/>
  <c r="I842" i="4"/>
  <c r="H842" i="4"/>
  <c r="M851" i="4"/>
  <c r="I850" i="4"/>
  <c r="H850" i="4"/>
  <c r="M859" i="4"/>
  <c r="I858" i="4"/>
  <c r="H858" i="4"/>
  <c r="M867" i="4"/>
  <c r="I866" i="4"/>
  <c r="H866" i="4"/>
  <c r="M875" i="4"/>
  <c r="I874" i="4"/>
  <c r="H874" i="4"/>
  <c r="M883" i="4"/>
  <c r="I882" i="4"/>
  <c r="H882" i="4"/>
  <c r="M891" i="4"/>
  <c r="I890" i="4"/>
  <c r="H890" i="4"/>
  <c r="M899" i="4"/>
  <c r="I898" i="4"/>
  <c r="H898" i="4"/>
  <c r="M907" i="4"/>
  <c r="I906" i="4"/>
  <c r="H906" i="4"/>
  <c r="M915" i="4"/>
  <c r="I914" i="4"/>
  <c r="H914" i="4"/>
  <c r="M923" i="4"/>
  <c r="I922" i="4"/>
  <c r="H922" i="4"/>
  <c r="M931" i="4"/>
  <c r="I930" i="4"/>
  <c r="H930" i="4"/>
  <c r="M939" i="4"/>
  <c r="I938" i="4"/>
  <c r="H938" i="4"/>
  <c r="M947" i="4"/>
  <c r="I946" i="4"/>
  <c r="H946" i="4"/>
  <c r="M955" i="4"/>
  <c r="I954" i="4"/>
  <c r="H954" i="4"/>
  <c r="M963" i="4"/>
  <c r="I962" i="4"/>
  <c r="H962" i="4"/>
  <c r="M971" i="4"/>
  <c r="I970" i="4"/>
  <c r="H970" i="4"/>
  <c r="M979" i="4"/>
  <c r="I978" i="4"/>
  <c r="H978" i="4"/>
  <c r="M987" i="4"/>
  <c r="I986" i="4"/>
  <c r="H986" i="4"/>
  <c r="M995" i="4"/>
  <c r="I994" i="4"/>
  <c r="H994" i="4"/>
  <c r="M1003" i="4"/>
  <c r="I1002" i="4"/>
  <c r="H1002" i="4"/>
  <c r="M620" i="4"/>
  <c r="I619" i="4"/>
  <c r="H619" i="4"/>
  <c r="M636" i="4"/>
  <c r="I635" i="4"/>
  <c r="H635" i="4"/>
  <c r="M652" i="4"/>
  <c r="I651" i="4"/>
  <c r="H651" i="4"/>
  <c r="M664" i="4"/>
  <c r="I663" i="4"/>
  <c r="H663" i="4"/>
  <c r="M680" i="4"/>
  <c r="I679" i="4"/>
  <c r="H679" i="4"/>
  <c r="M696" i="4"/>
  <c r="I695" i="4"/>
  <c r="H695" i="4"/>
  <c r="M712" i="4"/>
  <c r="I711" i="4"/>
  <c r="H711" i="4"/>
  <c r="M728" i="4"/>
  <c r="I727" i="4"/>
  <c r="H727" i="4"/>
  <c r="M744" i="4"/>
  <c r="I743" i="4"/>
  <c r="H743" i="4"/>
  <c r="M760" i="4"/>
  <c r="I759" i="4"/>
  <c r="H759" i="4"/>
  <c r="M776" i="4"/>
  <c r="I775" i="4"/>
  <c r="H775" i="4"/>
  <c r="M792" i="4"/>
  <c r="I791" i="4"/>
  <c r="H791" i="4"/>
  <c r="M808" i="4"/>
  <c r="I807" i="4"/>
  <c r="H807" i="4"/>
  <c r="M828" i="4"/>
  <c r="I827" i="4"/>
  <c r="H827" i="4"/>
  <c r="M844" i="4"/>
  <c r="I843" i="4"/>
  <c r="H843" i="4"/>
  <c r="M860" i="4"/>
  <c r="I859" i="4"/>
  <c r="H859" i="4"/>
  <c r="M884" i="4"/>
  <c r="I883" i="4"/>
  <c r="H883" i="4"/>
  <c r="M900" i="4"/>
  <c r="I899" i="4"/>
  <c r="H899" i="4"/>
  <c r="M916" i="4"/>
  <c r="I915" i="4"/>
  <c r="H915" i="4"/>
  <c r="M928" i="4"/>
  <c r="I927" i="4"/>
  <c r="H927" i="4"/>
  <c r="M944" i="4"/>
  <c r="I943" i="4"/>
  <c r="H943" i="4"/>
  <c r="M956" i="4"/>
  <c r="I955" i="4"/>
  <c r="H955" i="4"/>
  <c r="M972" i="4"/>
  <c r="I971" i="4"/>
  <c r="H971" i="4"/>
  <c r="M988" i="4"/>
  <c r="I987" i="4"/>
  <c r="H987" i="4"/>
  <c r="M954" i="4"/>
  <c r="I953" i="4"/>
  <c r="H953" i="4"/>
  <c r="M986" i="4"/>
  <c r="I985" i="4"/>
  <c r="H985" i="4"/>
  <c r="M82" i="4"/>
  <c r="M8" i="4"/>
  <c r="M512" i="4"/>
  <c r="I511" i="4"/>
  <c r="H511" i="4"/>
  <c r="M520" i="4"/>
  <c r="I519" i="4"/>
  <c r="H519" i="4"/>
  <c r="M528" i="4"/>
  <c r="I527" i="4"/>
  <c r="H527" i="4"/>
  <c r="M536" i="4"/>
  <c r="I535" i="4"/>
  <c r="H535" i="4"/>
  <c r="M540" i="4"/>
  <c r="I539" i="4"/>
  <c r="H539" i="4"/>
  <c r="M548" i="4"/>
  <c r="I547" i="4"/>
  <c r="H547" i="4"/>
  <c r="M556" i="4"/>
  <c r="I555" i="4"/>
  <c r="H555" i="4"/>
  <c r="M564" i="4"/>
  <c r="I563" i="4"/>
  <c r="H563" i="4"/>
  <c r="M572" i="4"/>
  <c r="I571" i="4"/>
  <c r="H571" i="4"/>
  <c r="M580" i="4"/>
  <c r="I579" i="4"/>
  <c r="H579" i="4"/>
  <c r="M592" i="4"/>
  <c r="I591" i="4"/>
  <c r="H591" i="4"/>
  <c r="M600" i="4"/>
  <c r="I599" i="4"/>
  <c r="H599" i="4"/>
  <c r="M608" i="4"/>
  <c r="I607" i="4"/>
  <c r="H607" i="4"/>
  <c r="M616" i="4"/>
  <c r="I615" i="4"/>
  <c r="H615" i="4"/>
  <c r="M632" i="4"/>
  <c r="I631" i="4"/>
  <c r="H631" i="4"/>
  <c r="M648" i="4"/>
  <c r="I647" i="4"/>
  <c r="H647" i="4"/>
  <c r="M668" i="4"/>
  <c r="I667" i="4"/>
  <c r="H667" i="4"/>
  <c r="M684" i="4"/>
  <c r="I683" i="4"/>
  <c r="H683" i="4"/>
  <c r="M700" i="4"/>
  <c r="I699" i="4"/>
  <c r="H699" i="4"/>
  <c r="M716" i="4"/>
  <c r="I715" i="4"/>
  <c r="H715" i="4"/>
  <c r="M732" i="4"/>
  <c r="I731" i="4"/>
  <c r="H731" i="4"/>
  <c r="M748" i="4"/>
  <c r="I747" i="4"/>
  <c r="H747" i="4"/>
  <c r="M764" i="4"/>
  <c r="I763" i="4"/>
  <c r="H763" i="4"/>
  <c r="M780" i="4"/>
  <c r="I779" i="4"/>
  <c r="H779" i="4"/>
  <c r="M796" i="4"/>
  <c r="I795" i="4"/>
  <c r="H795" i="4"/>
  <c r="M812" i="4"/>
  <c r="I811" i="4"/>
  <c r="H811" i="4"/>
  <c r="M824" i="4"/>
  <c r="I823" i="4"/>
  <c r="H823" i="4"/>
  <c r="M840" i="4"/>
  <c r="I839" i="4"/>
  <c r="H839" i="4"/>
  <c r="M856" i="4"/>
  <c r="I855" i="4"/>
  <c r="H855" i="4"/>
  <c r="M868" i="4"/>
  <c r="I867" i="4"/>
  <c r="H867" i="4"/>
  <c r="M880" i="4"/>
  <c r="I879" i="4"/>
  <c r="H879" i="4"/>
  <c r="M896" i="4"/>
  <c r="I895" i="4"/>
  <c r="H895" i="4"/>
  <c r="M912" i="4"/>
  <c r="I911" i="4"/>
  <c r="H911" i="4"/>
  <c r="M932" i="4"/>
  <c r="I931" i="4"/>
  <c r="H931" i="4"/>
  <c r="M948" i="4"/>
  <c r="I947" i="4"/>
  <c r="H947" i="4"/>
  <c r="M968" i="4"/>
  <c r="I967" i="4"/>
  <c r="H967" i="4"/>
  <c r="M984" i="4"/>
  <c r="I983" i="4"/>
  <c r="H983" i="4"/>
  <c r="M1000" i="4"/>
  <c r="I999" i="4"/>
  <c r="H999" i="4"/>
  <c r="M966" i="4"/>
  <c r="I965" i="4"/>
  <c r="H965" i="4"/>
  <c r="M994" i="4"/>
  <c r="I993" i="4"/>
  <c r="H993" i="4"/>
  <c r="M509" i="4"/>
  <c r="I508" i="4"/>
  <c r="H508" i="4"/>
  <c r="M517" i="4"/>
  <c r="H516" i="4"/>
  <c r="I516" i="4"/>
  <c r="M525" i="4"/>
  <c r="I524" i="4"/>
  <c r="H524" i="4"/>
  <c r="M533" i="4"/>
  <c r="H532" i="4"/>
  <c r="I532" i="4"/>
  <c r="M541" i="4"/>
  <c r="I540" i="4"/>
  <c r="H540" i="4"/>
  <c r="M549" i="4"/>
  <c r="H548" i="4"/>
  <c r="I548" i="4"/>
  <c r="M557" i="4"/>
  <c r="I556" i="4"/>
  <c r="H556" i="4"/>
  <c r="M565" i="4"/>
  <c r="H564" i="4"/>
  <c r="I564" i="4"/>
  <c r="M573" i="4"/>
  <c r="I572" i="4"/>
  <c r="H572" i="4"/>
  <c r="M581" i="4"/>
  <c r="H580" i="4"/>
  <c r="I580" i="4"/>
  <c r="M589" i="4"/>
  <c r="I588" i="4"/>
  <c r="H588" i="4"/>
  <c r="M597" i="4"/>
  <c r="H596" i="4"/>
  <c r="I596" i="4"/>
  <c r="M605" i="4"/>
  <c r="I604" i="4"/>
  <c r="H604" i="4"/>
  <c r="M613" i="4"/>
  <c r="H612" i="4"/>
  <c r="I612" i="4"/>
  <c r="M621" i="4"/>
  <c r="I620" i="4"/>
  <c r="H620" i="4"/>
  <c r="M629" i="4"/>
  <c r="H628" i="4"/>
  <c r="I628" i="4"/>
  <c r="M637" i="4"/>
  <c r="I636" i="4"/>
  <c r="H636" i="4"/>
  <c r="M645" i="4"/>
  <c r="H644" i="4"/>
  <c r="I644" i="4"/>
  <c r="M653" i="4"/>
  <c r="I652" i="4"/>
  <c r="H652" i="4"/>
  <c r="M661" i="4"/>
  <c r="H660" i="4"/>
  <c r="I660" i="4"/>
  <c r="M669" i="4"/>
  <c r="I668" i="4"/>
  <c r="H668" i="4"/>
  <c r="M677" i="4"/>
  <c r="H676" i="4"/>
  <c r="I676" i="4"/>
  <c r="M685" i="4"/>
  <c r="I684" i="4"/>
  <c r="H684" i="4"/>
  <c r="M693" i="4"/>
  <c r="I692" i="4"/>
  <c r="H692" i="4"/>
  <c r="M701" i="4"/>
  <c r="I700" i="4"/>
  <c r="H700" i="4"/>
  <c r="M709" i="4"/>
  <c r="I708" i="4"/>
  <c r="H708" i="4"/>
  <c r="M717" i="4"/>
  <c r="I716" i="4"/>
  <c r="H716" i="4"/>
  <c r="M725" i="4"/>
  <c r="I724" i="4"/>
  <c r="H724" i="4"/>
  <c r="M733" i="4"/>
  <c r="I732" i="4"/>
  <c r="H732" i="4"/>
  <c r="M741" i="4"/>
  <c r="I740" i="4"/>
  <c r="H740" i="4"/>
  <c r="M749" i="4"/>
  <c r="I748" i="4"/>
  <c r="H748" i="4"/>
  <c r="M757" i="4"/>
  <c r="I756" i="4"/>
  <c r="H756" i="4"/>
  <c r="M765" i="4"/>
  <c r="I764" i="4"/>
  <c r="H764" i="4"/>
  <c r="M773" i="4"/>
  <c r="I772" i="4"/>
  <c r="H772" i="4"/>
  <c r="M781" i="4"/>
  <c r="I780" i="4"/>
  <c r="H780" i="4"/>
  <c r="M789" i="4"/>
  <c r="I788" i="4"/>
  <c r="H788" i="4"/>
  <c r="M797" i="4"/>
  <c r="I796" i="4"/>
  <c r="H796" i="4"/>
  <c r="M805" i="4"/>
  <c r="I804" i="4"/>
  <c r="H804" i="4"/>
  <c r="M813" i="4"/>
  <c r="I812" i="4"/>
  <c r="H812" i="4"/>
  <c r="M821" i="4"/>
  <c r="I820" i="4"/>
  <c r="H820" i="4"/>
  <c r="M829" i="4"/>
  <c r="I828" i="4"/>
  <c r="H828" i="4"/>
  <c r="M837" i="4"/>
  <c r="I836" i="4"/>
  <c r="H836" i="4"/>
  <c r="M845" i="4"/>
  <c r="I844" i="4"/>
  <c r="H844" i="4"/>
  <c r="M853" i="4"/>
  <c r="I852" i="4"/>
  <c r="H852" i="4"/>
  <c r="M861" i="4"/>
  <c r="I860" i="4"/>
  <c r="H860" i="4"/>
  <c r="M869" i="4"/>
  <c r="I868" i="4"/>
  <c r="H868" i="4"/>
  <c r="M877" i="4"/>
  <c r="I876" i="4"/>
  <c r="H876" i="4"/>
  <c r="M885" i="4"/>
  <c r="I884" i="4"/>
  <c r="H884" i="4"/>
  <c r="M893" i="4"/>
  <c r="I892" i="4"/>
  <c r="H892" i="4"/>
  <c r="M901" i="4"/>
  <c r="I900" i="4"/>
  <c r="H900" i="4"/>
  <c r="M909" i="4"/>
  <c r="I908" i="4"/>
  <c r="H908" i="4"/>
  <c r="M917" i="4"/>
  <c r="I916" i="4"/>
  <c r="H916" i="4"/>
  <c r="M925" i="4"/>
  <c r="I924" i="4"/>
  <c r="H924" i="4"/>
  <c r="M933" i="4"/>
  <c r="I932" i="4"/>
  <c r="H932" i="4"/>
  <c r="M941" i="4"/>
  <c r="I940" i="4"/>
  <c r="H940" i="4"/>
  <c r="M949" i="4"/>
  <c r="I948" i="4"/>
  <c r="H948" i="4"/>
  <c r="M957" i="4"/>
  <c r="I956" i="4"/>
  <c r="H956" i="4"/>
  <c r="M965" i="4"/>
  <c r="I964" i="4"/>
  <c r="H964" i="4"/>
  <c r="M973" i="4"/>
  <c r="I972" i="4"/>
  <c r="H972" i="4"/>
  <c r="M981" i="4"/>
  <c r="I980" i="4"/>
  <c r="H980" i="4"/>
  <c r="M989" i="4"/>
  <c r="I988" i="4"/>
  <c r="H988" i="4"/>
  <c r="M997" i="4"/>
  <c r="I996" i="4"/>
  <c r="H996" i="4"/>
  <c r="M786" i="4"/>
  <c r="I785" i="4"/>
  <c r="H785" i="4"/>
  <c r="M810" i="4"/>
  <c r="I809" i="4"/>
  <c r="H809" i="4"/>
  <c r="M826" i="4"/>
  <c r="I825" i="4"/>
  <c r="H825" i="4"/>
  <c r="M878" i="4"/>
  <c r="I877" i="4"/>
  <c r="H877" i="4"/>
  <c r="M894" i="4"/>
  <c r="I893" i="4"/>
  <c r="H893" i="4"/>
  <c r="M910" i="4"/>
  <c r="I909" i="4"/>
  <c r="H909" i="4"/>
  <c r="M926" i="4"/>
  <c r="I925" i="4"/>
  <c r="H925" i="4"/>
  <c r="M946" i="4"/>
  <c r="I945" i="4"/>
  <c r="H945" i="4"/>
  <c r="M974" i="4"/>
  <c r="I973" i="4"/>
  <c r="H973" i="4"/>
  <c r="M506" i="4"/>
  <c r="I505" i="4"/>
  <c r="H505" i="4"/>
  <c r="M514" i="4"/>
  <c r="I513" i="4"/>
  <c r="H513" i="4"/>
  <c r="M522" i="4"/>
  <c r="I521" i="4"/>
  <c r="H521" i="4"/>
  <c r="M530" i="4"/>
  <c r="I529" i="4"/>
  <c r="H529" i="4"/>
  <c r="M538" i="4"/>
  <c r="I537" i="4"/>
  <c r="H537" i="4"/>
  <c r="M546" i="4"/>
  <c r="I545" i="4"/>
  <c r="H545" i="4"/>
  <c r="M554" i="4"/>
  <c r="I553" i="4"/>
  <c r="H553" i="4"/>
  <c r="M562" i="4"/>
  <c r="I561" i="4"/>
  <c r="H561" i="4"/>
  <c r="M570" i="4"/>
  <c r="I569" i="4"/>
  <c r="H569" i="4"/>
  <c r="M578" i="4"/>
  <c r="I577" i="4"/>
  <c r="H577" i="4"/>
  <c r="M586" i="4"/>
  <c r="I585" i="4"/>
  <c r="H585" i="4"/>
  <c r="M594" i="4"/>
  <c r="I593" i="4"/>
  <c r="H593" i="4"/>
  <c r="M602" i="4"/>
  <c r="I601" i="4"/>
  <c r="H601" i="4"/>
  <c r="M610" i="4"/>
  <c r="I609" i="4"/>
  <c r="H609" i="4"/>
  <c r="M618" i="4"/>
  <c r="I617" i="4"/>
  <c r="H617" i="4"/>
  <c r="M626" i="4"/>
  <c r="I625" i="4"/>
  <c r="H625" i="4"/>
  <c r="M634" i="4"/>
  <c r="I633" i="4"/>
  <c r="H633" i="4"/>
  <c r="M642" i="4"/>
  <c r="I641" i="4"/>
  <c r="H641" i="4"/>
  <c r="M650" i="4"/>
  <c r="I649" i="4"/>
  <c r="H649" i="4"/>
  <c r="M658" i="4"/>
  <c r="I657" i="4"/>
  <c r="H657" i="4"/>
  <c r="M666" i="4"/>
  <c r="I665" i="4"/>
  <c r="H665" i="4"/>
  <c r="M674" i="4"/>
  <c r="I673" i="4"/>
  <c r="H673" i="4"/>
  <c r="M682" i="4"/>
  <c r="I681" i="4"/>
  <c r="H681" i="4"/>
  <c r="M690" i="4"/>
  <c r="I689" i="4"/>
  <c r="H689" i="4"/>
  <c r="M698" i="4"/>
  <c r="I697" i="4"/>
  <c r="H697" i="4"/>
  <c r="M706" i="4"/>
  <c r="I705" i="4"/>
  <c r="H705" i="4"/>
  <c r="M714" i="4"/>
  <c r="I713" i="4"/>
  <c r="H713" i="4"/>
  <c r="M722" i="4"/>
  <c r="I721" i="4"/>
  <c r="H721" i="4"/>
  <c r="M730" i="4"/>
  <c r="I729" i="4"/>
  <c r="H729" i="4"/>
  <c r="M738" i="4"/>
  <c r="I737" i="4"/>
  <c r="H737" i="4"/>
  <c r="M746" i="4"/>
  <c r="I745" i="4"/>
  <c r="H745" i="4"/>
  <c r="M754" i="4"/>
  <c r="I753" i="4"/>
  <c r="H753" i="4"/>
  <c r="M762" i="4"/>
  <c r="I761" i="4"/>
  <c r="H761" i="4"/>
  <c r="M770" i="4"/>
  <c r="I769" i="4"/>
  <c r="H769" i="4"/>
  <c r="M778" i="4"/>
  <c r="I777" i="4"/>
  <c r="H777" i="4"/>
  <c r="M790" i="4"/>
  <c r="I789" i="4"/>
  <c r="H789" i="4"/>
  <c r="M798" i="4"/>
  <c r="I797" i="4"/>
  <c r="H797" i="4"/>
  <c r="M814" i="4"/>
  <c r="I813" i="4"/>
  <c r="H813" i="4"/>
  <c r="M830" i="4"/>
  <c r="I829" i="4"/>
  <c r="H829" i="4"/>
  <c r="M838" i="4"/>
  <c r="I837" i="4"/>
  <c r="H837" i="4"/>
  <c r="M846" i="4"/>
  <c r="I845" i="4"/>
  <c r="H845" i="4"/>
  <c r="M854" i="4"/>
  <c r="I853" i="4"/>
  <c r="H853" i="4"/>
  <c r="M866" i="4"/>
  <c r="I865" i="4"/>
  <c r="H865" i="4"/>
  <c r="M874" i="4"/>
  <c r="I873" i="4"/>
  <c r="H873" i="4"/>
  <c r="M890" i="4"/>
  <c r="I889" i="4"/>
  <c r="H889" i="4"/>
  <c r="M906" i="4"/>
  <c r="I905" i="4"/>
  <c r="H905" i="4"/>
  <c r="M922" i="4"/>
  <c r="I921" i="4"/>
  <c r="H921" i="4"/>
  <c r="M938" i="4"/>
  <c r="I937" i="4"/>
  <c r="H937" i="4"/>
  <c r="M962" i="4"/>
  <c r="I961" i="4"/>
  <c r="H961" i="4"/>
  <c r="M998" i="4"/>
  <c r="I997" i="4"/>
  <c r="H997" i="4"/>
  <c r="M511" i="4"/>
  <c r="I510" i="4"/>
  <c r="H510" i="4"/>
  <c r="M519" i="4"/>
  <c r="I518" i="4"/>
  <c r="H518" i="4"/>
  <c r="M527" i="4"/>
  <c r="I526" i="4"/>
  <c r="H526" i="4"/>
  <c r="M535" i="4"/>
  <c r="I534" i="4"/>
  <c r="H534" i="4"/>
  <c r="M543" i="4"/>
  <c r="I542" i="4"/>
  <c r="H542" i="4"/>
  <c r="M551" i="4"/>
  <c r="I550" i="4"/>
  <c r="H550" i="4"/>
  <c r="M559" i="4"/>
  <c r="I558" i="4"/>
  <c r="H558" i="4"/>
  <c r="M567" i="4"/>
  <c r="I566" i="4"/>
  <c r="H566" i="4"/>
  <c r="M575" i="4"/>
  <c r="I574" i="4"/>
  <c r="H574" i="4"/>
  <c r="M583" i="4"/>
  <c r="I582" i="4"/>
  <c r="H582" i="4"/>
  <c r="M591" i="4"/>
  <c r="I590" i="4"/>
  <c r="H590" i="4"/>
  <c r="M599" i="4"/>
  <c r="I598" i="4"/>
  <c r="H598" i="4"/>
  <c r="M607" i="4"/>
  <c r="I606" i="4"/>
  <c r="H606" i="4"/>
  <c r="M615" i="4"/>
  <c r="I614" i="4"/>
  <c r="H614" i="4"/>
  <c r="M623" i="4"/>
  <c r="I622" i="4"/>
  <c r="H622" i="4"/>
  <c r="M631" i="4"/>
  <c r="I630" i="4"/>
  <c r="H630" i="4"/>
  <c r="M639" i="4"/>
  <c r="I638" i="4"/>
  <c r="H638" i="4"/>
  <c r="M647" i="4"/>
  <c r="I646" i="4"/>
  <c r="H646" i="4"/>
  <c r="M655" i="4"/>
  <c r="I654" i="4"/>
  <c r="H654" i="4"/>
  <c r="M663" i="4"/>
  <c r="I662" i="4"/>
  <c r="H662" i="4"/>
  <c r="M671" i="4"/>
  <c r="I670" i="4"/>
  <c r="H670" i="4"/>
  <c r="M679" i="4"/>
  <c r="I678" i="4"/>
  <c r="H678" i="4"/>
  <c r="M687" i="4"/>
  <c r="I686" i="4"/>
  <c r="H686" i="4"/>
  <c r="M695" i="4"/>
  <c r="I694" i="4"/>
  <c r="H694" i="4"/>
  <c r="M703" i="4"/>
  <c r="I702" i="4"/>
  <c r="H702" i="4"/>
  <c r="M711" i="4"/>
  <c r="I710" i="4"/>
  <c r="H710" i="4"/>
  <c r="M719" i="4"/>
  <c r="I718" i="4"/>
  <c r="H718" i="4"/>
  <c r="M727" i="4"/>
  <c r="I726" i="4"/>
  <c r="H726" i="4"/>
  <c r="M735" i="4"/>
  <c r="I734" i="4"/>
  <c r="H734" i="4"/>
  <c r="M743" i="4"/>
  <c r="I742" i="4"/>
  <c r="H742" i="4"/>
  <c r="M751" i="4"/>
  <c r="I750" i="4"/>
  <c r="H750" i="4"/>
  <c r="M759" i="4"/>
  <c r="I758" i="4"/>
  <c r="H758" i="4"/>
  <c r="M767" i="4"/>
  <c r="I766" i="4"/>
  <c r="H766" i="4"/>
  <c r="M775" i="4"/>
  <c r="I774" i="4"/>
  <c r="H774" i="4"/>
  <c r="M783" i="4"/>
  <c r="I782" i="4"/>
  <c r="H782" i="4"/>
  <c r="M791" i="4"/>
  <c r="I790" i="4"/>
  <c r="H790" i="4"/>
  <c r="M799" i="4"/>
  <c r="I798" i="4"/>
  <c r="H798" i="4"/>
  <c r="M807" i="4"/>
  <c r="I806" i="4"/>
  <c r="H806" i="4"/>
  <c r="M815" i="4"/>
  <c r="I814" i="4"/>
  <c r="H814" i="4"/>
  <c r="M823" i="4"/>
  <c r="I822" i="4"/>
  <c r="H822" i="4"/>
  <c r="M831" i="4"/>
  <c r="I830" i="4"/>
  <c r="H830" i="4"/>
  <c r="M839" i="4"/>
  <c r="I838" i="4"/>
  <c r="H838" i="4"/>
  <c r="M847" i="4"/>
  <c r="I846" i="4"/>
  <c r="H846" i="4"/>
  <c r="M855" i="4"/>
  <c r="I854" i="4"/>
  <c r="H854" i="4"/>
  <c r="M863" i="4"/>
  <c r="I862" i="4"/>
  <c r="H862" i="4"/>
  <c r="M871" i="4"/>
  <c r="I870" i="4"/>
  <c r="H870" i="4"/>
  <c r="M879" i="4"/>
  <c r="I878" i="4"/>
  <c r="H878" i="4"/>
  <c r="M887" i="4"/>
  <c r="I886" i="4"/>
  <c r="H886" i="4"/>
  <c r="M895" i="4"/>
  <c r="I894" i="4"/>
  <c r="H894" i="4"/>
  <c r="M903" i="4"/>
  <c r="I902" i="4"/>
  <c r="H902" i="4"/>
  <c r="M911" i="4"/>
  <c r="I910" i="4"/>
  <c r="H910" i="4"/>
  <c r="M919" i="4"/>
  <c r="I918" i="4"/>
  <c r="H918" i="4"/>
  <c r="M927" i="4"/>
  <c r="I926" i="4"/>
  <c r="H926" i="4"/>
  <c r="M935" i="4"/>
  <c r="I934" i="4"/>
  <c r="H934" i="4"/>
  <c r="M943" i="4"/>
  <c r="I942" i="4"/>
  <c r="H942" i="4"/>
  <c r="M951" i="4"/>
  <c r="I950" i="4"/>
  <c r="H950" i="4"/>
  <c r="M959" i="4"/>
  <c r="I958" i="4"/>
  <c r="H958" i="4"/>
  <c r="M967" i="4"/>
  <c r="I966" i="4"/>
  <c r="H966" i="4"/>
  <c r="M975" i="4"/>
  <c r="I974" i="4"/>
  <c r="H974" i="4"/>
  <c r="M983" i="4"/>
  <c r="I982" i="4"/>
  <c r="H982" i="4"/>
  <c r="M991" i="4"/>
  <c r="I990" i="4"/>
  <c r="H990" i="4"/>
  <c r="M999" i="4"/>
  <c r="I998" i="4"/>
  <c r="H998" i="4"/>
  <c r="M588" i="4"/>
  <c r="I587" i="4"/>
  <c r="H587" i="4"/>
  <c r="M628" i="4"/>
  <c r="I627" i="4"/>
  <c r="H627" i="4"/>
  <c r="M644" i="4"/>
  <c r="I643" i="4"/>
  <c r="H643" i="4"/>
  <c r="M660" i="4"/>
  <c r="I659" i="4"/>
  <c r="H659" i="4"/>
  <c r="M672" i="4"/>
  <c r="I671" i="4"/>
  <c r="H671" i="4"/>
  <c r="M688" i="4"/>
  <c r="I687" i="4"/>
  <c r="H687" i="4"/>
  <c r="M704" i="4"/>
  <c r="I703" i="4"/>
  <c r="H703" i="4"/>
  <c r="M720" i="4"/>
  <c r="I719" i="4"/>
  <c r="H719" i="4"/>
  <c r="M736" i="4"/>
  <c r="I735" i="4"/>
  <c r="H735" i="4"/>
  <c r="M752" i="4"/>
  <c r="I751" i="4"/>
  <c r="H751" i="4"/>
  <c r="M768" i="4"/>
  <c r="I767" i="4"/>
  <c r="H767" i="4"/>
  <c r="M784" i="4"/>
  <c r="I783" i="4"/>
  <c r="H783" i="4"/>
  <c r="M800" i="4"/>
  <c r="I799" i="4"/>
  <c r="H799" i="4"/>
  <c r="M816" i="4"/>
  <c r="I815" i="4"/>
  <c r="H815" i="4"/>
  <c r="M836" i="4"/>
  <c r="I835" i="4"/>
  <c r="H835" i="4"/>
  <c r="M852" i="4"/>
  <c r="I851" i="4"/>
  <c r="H851" i="4"/>
  <c r="M872" i="4"/>
  <c r="I871" i="4"/>
  <c r="H871" i="4"/>
  <c r="M892" i="4"/>
  <c r="I891" i="4"/>
  <c r="H891" i="4"/>
  <c r="M908" i="4"/>
  <c r="I907" i="4"/>
  <c r="H907" i="4"/>
  <c r="M924" i="4"/>
  <c r="I923" i="4"/>
  <c r="H923" i="4"/>
  <c r="M936" i="4"/>
  <c r="I935" i="4"/>
  <c r="H935" i="4"/>
  <c r="M952" i="4"/>
  <c r="I951" i="4"/>
  <c r="H951" i="4"/>
  <c r="M964" i="4"/>
  <c r="I963" i="4"/>
  <c r="H963" i="4"/>
  <c r="M980" i="4"/>
  <c r="I979" i="4"/>
  <c r="H979" i="4"/>
  <c r="M996" i="4"/>
  <c r="I995" i="4"/>
  <c r="H995" i="4"/>
  <c r="M970" i="4"/>
  <c r="I969" i="4"/>
  <c r="H969" i="4"/>
  <c r="M1002" i="4"/>
  <c r="I1001" i="4"/>
  <c r="H1001" i="4"/>
  <c r="M508" i="4"/>
  <c r="I507" i="4"/>
  <c r="H507" i="4"/>
  <c r="M516" i="4"/>
  <c r="I515" i="4"/>
  <c r="H515" i="4"/>
  <c r="M524" i="4"/>
  <c r="I523" i="4"/>
  <c r="H523" i="4"/>
  <c r="M532" i="4"/>
  <c r="I531" i="4"/>
  <c r="H531" i="4"/>
  <c r="M30" i="4"/>
  <c r="M90" i="4"/>
  <c r="M19" i="4"/>
  <c r="M98" i="4"/>
  <c r="M103" i="4"/>
  <c r="M50" i="4"/>
  <c r="M73" i="4"/>
  <c r="M96" i="4"/>
  <c r="M86" i="4"/>
  <c r="M91" i="4"/>
  <c r="M66" i="4"/>
  <c r="M17" i="4"/>
  <c r="M41" i="4"/>
  <c r="M37" i="4"/>
  <c r="M134" i="4"/>
  <c r="I133" i="4"/>
  <c r="H133" i="4"/>
  <c r="M456" i="4"/>
  <c r="I455" i="4"/>
  <c r="H455" i="4"/>
  <c r="M107" i="4"/>
  <c r="I106" i="4"/>
  <c r="H106" i="4"/>
  <c r="M140" i="4"/>
  <c r="I139" i="4"/>
  <c r="H139" i="4"/>
  <c r="M340" i="4"/>
  <c r="I339" i="4"/>
  <c r="H339" i="4"/>
  <c r="M182" i="4"/>
  <c r="I181" i="4"/>
  <c r="H181" i="4"/>
  <c r="M430" i="4"/>
  <c r="I429" i="4"/>
  <c r="H429" i="4"/>
  <c r="M199" i="4"/>
  <c r="H198" i="4"/>
  <c r="I198" i="4"/>
  <c r="M410" i="4"/>
  <c r="I409" i="4"/>
  <c r="H409" i="4"/>
  <c r="M126" i="4"/>
  <c r="I125" i="4"/>
  <c r="H125" i="4"/>
  <c r="M166" i="4"/>
  <c r="I165" i="4"/>
  <c r="H165" i="4"/>
  <c r="M320" i="4"/>
  <c r="I319" i="4"/>
  <c r="H319" i="4"/>
  <c r="M384" i="4"/>
  <c r="I383" i="4"/>
  <c r="H383" i="4"/>
  <c r="M448" i="4"/>
  <c r="H447" i="4"/>
  <c r="I447" i="4"/>
  <c r="M114" i="4"/>
  <c r="I113" i="4"/>
  <c r="H113" i="4"/>
  <c r="M178" i="4"/>
  <c r="I177" i="4"/>
  <c r="H177" i="4"/>
  <c r="M163" i="4"/>
  <c r="I162" i="4"/>
  <c r="H162" i="4"/>
  <c r="M227" i="4"/>
  <c r="I226" i="4"/>
  <c r="H226" i="4"/>
  <c r="M355" i="4"/>
  <c r="I354" i="4"/>
  <c r="H354" i="4"/>
  <c r="M491" i="4"/>
  <c r="I490" i="4"/>
  <c r="H490" i="4"/>
  <c r="M74" i="4"/>
  <c r="M133" i="4"/>
  <c r="I132" i="4"/>
  <c r="H132" i="4"/>
  <c r="M165" i="4"/>
  <c r="I164" i="4"/>
  <c r="H164" i="4"/>
  <c r="M197" i="4"/>
  <c r="I196" i="4"/>
  <c r="H196" i="4"/>
  <c r="M104" i="4"/>
  <c r="I103" i="4"/>
  <c r="H103" i="4"/>
  <c r="M136" i="4"/>
  <c r="I135" i="4"/>
  <c r="H135" i="4"/>
  <c r="M168" i="4"/>
  <c r="I167" i="4"/>
  <c r="H167" i="4"/>
  <c r="M200" i="4"/>
  <c r="I199" i="4"/>
  <c r="H199" i="4"/>
  <c r="M232" i="4"/>
  <c r="I231" i="4"/>
  <c r="H231" i="4"/>
  <c r="M264" i="4"/>
  <c r="I263" i="4"/>
  <c r="H263" i="4"/>
  <c r="M480" i="4"/>
  <c r="H479" i="4"/>
  <c r="I479" i="4"/>
  <c r="M195" i="4"/>
  <c r="H194" i="4"/>
  <c r="I194" i="4"/>
  <c r="M259" i="4"/>
  <c r="I258" i="4"/>
  <c r="H258" i="4"/>
  <c r="M323" i="4"/>
  <c r="I322" i="4"/>
  <c r="H322" i="4"/>
  <c r="M387" i="4"/>
  <c r="I386" i="4"/>
  <c r="H386" i="4"/>
  <c r="M451" i="4"/>
  <c r="I450" i="4"/>
  <c r="H450" i="4"/>
  <c r="M229" i="4"/>
  <c r="I228" i="4"/>
  <c r="H228" i="4"/>
  <c r="M261" i="4"/>
  <c r="I260" i="4"/>
  <c r="H260" i="4"/>
  <c r="M293" i="4"/>
  <c r="I292" i="4"/>
  <c r="H292" i="4"/>
  <c r="M325" i="4"/>
  <c r="I324" i="4"/>
  <c r="H324" i="4"/>
  <c r="M357" i="4"/>
  <c r="I356" i="4"/>
  <c r="H356" i="4"/>
  <c r="M389" i="4"/>
  <c r="I388" i="4"/>
  <c r="H388" i="4"/>
  <c r="M421" i="4"/>
  <c r="I420" i="4"/>
  <c r="H420" i="4"/>
  <c r="M485" i="4"/>
  <c r="H484" i="4"/>
  <c r="I484" i="4"/>
  <c r="M225" i="4"/>
  <c r="I224" i="4"/>
  <c r="H224" i="4"/>
  <c r="M441" i="4"/>
  <c r="H440" i="4"/>
  <c r="I440" i="4"/>
  <c r="M462" i="4"/>
  <c r="I461" i="4"/>
  <c r="H461" i="4"/>
  <c r="M135" i="4"/>
  <c r="H134" i="4"/>
  <c r="I134" i="4"/>
  <c r="M167" i="4"/>
  <c r="H166" i="4"/>
  <c r="I166" i="4"/>
  <c r="M231" i="4"/>
  <c r="H230" i="4"/>
  <c r="I230" i="4"/>
  <c r="M295" i="4"/>
  <c r="H294" i="4"/>
  <c r="I294" i="4"/>
  <c r="M359" i="4"/>
  <c r="H358" i="4"/>
  <c r="I358" i="4"/>
  <c r="M423" i="4"/>
  <c r="H422" i="4"/>
  <c r="I422" i="4"/>
  <c r="M455" i="4"/>
  <c r="H454" i="4"/>
  <c r="I454" i="4"/>
  <c r="M487" i="4"/>
  <c r="H486" i="4"/>
  <c r="I486" i="4"/>
  <c r="M209" i="4"/>
  <c r="I208" i="4"/>
  <c r="H208" i="4"/>
  <c r="M465" i="4"/>
  <c r="H464" i="4"/>
  <c r="I464" i="4"/>
  <c r="M392" i="4"/>
  <c r="I391" i="4"/>
  <c r="H391" i="4"/>
  <c r="M139" i="4"/>
  <c r="I138" i="4"/>
  <c r="H138" i="4"/>
  <c r="M249" i="4"/>
  <c r="H248" i="4"/>
  <c r="I248" i="4"/>
  <c r="M276" i="4"/>
  <c r="I275" i="4"/>
  <c r="H275" i="4"/>
  <c r="M500" i="4"/>
  <c r="I499" i="4"/>
  <c r="H499" i="4"/>
  <c r="M206" i="4"/>
  <c r="I205" i="4"/>
  <c r="H205" i="4"/>
  <c r="M470" i="4"/>
  <c r="I469" i="4"/>
  <c r="H469" i="4"/>
  <c r="M327" i="4"/>
  <c r="H326" i="4"/>
  <c r="I326" i="4"/>
  <c r="M282" i="4"/>
  <c r="I281" i="4"/>
  <c r="H281" i="4"/>
  <c r="M346" i="4"/>
  <c r="I345" i="4"/>
  <c r="H345" i="4"/>
  <c r="M313" i="4"/>
  <c r="H312" i="4"/>
  <c r="I312" i="4"/>
  <c r="M141" i="4"/>
  <c r="I140" i="4"/>
  <c r="H140" i="4"/>
  <c r="M173" i="4"/>
  <c r="I172" i="4"/>
  <c r="H172" i="4"/>
  <c r="M174" i="4"/>
  <c r="I173" i="4"/>
  <c r="H173" i="4"/>
  <c r="M144" i="4"/>
  <c r="I143" i="4"/>
  <c r="H143" i="4"/>
  <c r="M176" i="4"/>
  <c r="I175" i="4"/>
  <c r="H175" i="4"/>
  <c r="M208" i="4"/>
  <c r="I207" i="4"/>
  <c r="H207" i="4"/>
  <c r="M240" i="4"/>
  <c r="I239" i="4"/>
  <c r="H239" i="4"/>
  <c r="M272" i="4"/>
  <c r="I271" i="4"/>
  <c r="H271" i="4"/>
  <c r="M235" i="4"/>
  <c r="H234" i="4"/>
  <c r="I234" i="4"/>
  <c r="M299" i="4"/>
  <c r="H298" i="4"/>
  <c r="I298" i="4"/>
  <c r="M363" i="4"/>
  <c r="H362" i="4"/>
  <c r="I362" i="4"/>
  <c r="M427" i="4"/>
  <c r="H426" i="4"/>
  <c r="I426" i="4"/>
  <c r="M205" i="4"/>
  <c r="I204" i="4"/>
  <c r="H204" i="4"/>
  <c r="M237" i="4"/>
  <c r="I236" i="4"/>
  <c r="H236" i="4"/>
  <c r="M269" i="4"/>
  <c r="I268" i="4"/>
  <c r="H268" i="4"/>
  <c r="M301" i="4"/>
  <c r="H300" i="4"/>
  <c r="I300" i="4"/>
  <c r="M333" i="4"/>
  <c r="H332" i="4"/>
  <c r="I332" i="4"/>
  <c r="M365" i="4"/>
  <c r="I364" i="4"/>
  <c r="H364" i="4"/>
  <c r="M397" i="4"/>
  <c r="I396" i="4"/>
  <c r="H396" i="4"/>
  <c r="M429" i="4"/>
  <c r="H428" i="4"/>
  <c r="I428" i="4"/>
  <c r="M461" i="4"/>
  <c r="I460" i="4"/>
  <c r="H460" i="4"/>
  <c r="M493" i="4"/>
  <c r="I492" i="4"/>
  <c r="H492" i="4"/>
  <c r="M281" i="4"/>
  <c r="H280" i="4"/>
  <c r="I280" i="4"/>
  <c r="M497" i="4"/>
  <c r="H496" i="4"/>
  <c r="I496" i="4"/>
  <c r="M238" i="4"/>
  <c r="I237" i="4"/>
  <c r="H237" i="4"/>
  <c r="M302" i="4"/>
  <c r="I301" i="4"/>
  <c r="H301" i="4"/>
  <c r="M366" i="4"/>
  <c r="I365" i="4"/>
  <c r="H365" i="4"/>
  <c r="M143" i="4"/>
  <c r="H142" i="4"/>
  <c r="I142" i="4"/>
  <c r="M175" i="4"/>
  <c r="H174" i="4"/>
  <c r="I174" i="4"/>
  <c r="M207" i="4"/>
  <c r="H206" i="4"/>
  <c r="I206" i="4"/>
  <c r="M239" i="4"/>
  <c r="H238" i="4"/>
  <c r="I238" i="4"/>
  <c r="M271" i="4"/>
  <c r="H270" i="4"/>
  <c r="I270" i="4"/>
  <c r="M303" i="4"/>
  <c r="H302" i="4"/>
  <c r="I302" i="4"/>
  <c r="M335" i="4"/>
  <c r="H334" i="4"/>
  <c r="I334" i="4"/>
  <c r="M367" i="4"/>
  <c r="H366" i="4"/>
  <c r="I366" i="4"/>
  <c r="M399" i="4"/>
  <c r="H398" i="4"/>
  <c r="I398" i="4"/>
  <c r="M431" i="4"/>
  <c r="H430" i="4"/>
  <c r="I430" i="4"/>
  <c r="M463" i="4"/>
  <c r="H462" i="4"/>
  <c r="I462" i="4"/>
  <c r="M495" i="4"/>
  <c r="H494" i="4"/>
  <c r="I494" i="4"/>
  <c r="M265" i="4"/>
  <c r="H264" i="4"/>
  <c r="I264" i="4"/>
  <c r="M438" i="4"/>
  <c r="I437" i="4"/>
  <c r="H437" i="4"/>
  <c r="M186" i="4"/>
  <c r="I185" i="4"/>
  <c r="H185" i="4"/>
  <c r="M250" i="4"/>
  <c r="I249" i="4"/>
  <c r="H249" i="4"/>
  <c r="M378" i="4"/>
  <c r="I377" i="4"/>
  <c r="H377" i="4"/>
  <c r="M424" i="4"/>
  <c r="I423" i="4"/>
  <c r="H423" i="4"/>
  <c r="M203" i="4"/>
  <c r="I202" i="4"/>
  <c r="H202" i="4"/>
  <c r="M172" i="4"/>
  <c r="I171" i="4"/>
  <c r="H171" i="4"/>
  <c r="M468" i="4"/>
  <c r="I467" i="4"/>
  <c r="H467" i="4"/>
  <c r="M398" i="4"/>
  <c r="I397" i="4"/>
  <c r="H397" i="4"/>
  <c r="M391" i="4"/>
  <c r="H390" i="4"/>
  <c r="I390" i="4"/>
  <c r="M218" i="4"/>
  <c r="I217" i="4"/>
  <c r="H217" i="4"/>
  <c r="M483" i="4"/>
  <c r="I482" i="4"/>
  <c r="H482" i="4"/>
  <c r="M81" i="4"/>
  <c r="M13" i="4"/>
  <c r="M142" i="4"/>
  <c r="I141" i="4"/>
  <c r="H141" i="4"/>
  <c r="M112" i="4"/>
  <c r="I111" i="4"/>
  <c r="H111" i="4"/>
  <c r="M368" i="4"/>
  <c r="I367" i="4"/>
  <c r="H367" i="4"/>
  <c r="M432" i="4"/>
  <c r="I431" i="4"/>
  <c r="H431" i="4"/>
  <c r="M496" i="4"/>
  <c r="H495" i="4"/>
  <c r="I495" i="4"/>
  <c r="M162" i="4"/>
  <c r="I161" i="4"/>
  <c r="H161" i="4"/>
  <c r="M147" i="4"/>
  <c r="I146" i="4"/>
  <c r="H146" i="4"/>
  <c r="M307" i="4"/>
  <c r="I306" i="4"/>
  <c r="H306" i="4"/>
  <c r="M305" i="4"/>
  <c r="I304" i="4"/>
  <c r="H304" i="4"/>
  <c r="M116" i="4"/>
  <c r="I115" i="4"/>
  <c r="H115" i="4"/>
  <c r="M148" i="4"/>
  <c r="I147" i="4"/>
  <c r="H147" i="4"/>
  <c r="M180" i="4"/>
  <c r="I179" i="4"/>
  <c r="H179" i="4"/>
  <c r="M212" i="4"/>
  <c r="I211" i="4"/>
  <c r="H211" i="4"/>
  <c r="M244" i="4"/>
  <c r="I243" i="4"/>
  <c r="H243" i="4"/>
  <c r="M284" i="4"/>
  <c r="I283" i="4"/>
  <c r="H283" i="4"/>
  <c r="M316" i="4"/>
  <c r="I315" i="4"/>
  <c r="H315" i="4"/>
  <c r="M348" i="4"/>
  <c r="I347" i="4"/>
  <c r="H347" i="4"/>
  <c r="M380" i="4"/>
  <c r="I379" i="4"/>
  <c r="H379" i="4"/>
  <c r="M412" i="4"/>
  <c r="I411" i="4"/>
  <c r="H411" i="4"/>
  <c r="M476" i="4"/>
  <c r="H475" i="4"/>
  <c r="I475" i="4"/>
  <c r="M105" i="4"/>
  <c r="H104" i="4"/>
  <c r="I104" i="4"/>
  <c r="M337" i="4"/>
  <c r="I336" i="4"/>
  <c r="H336" i="4"/>
  <c r="M214" i="4"/>
  <c r="I213" i="4"/>
  <c r="H213" i="4"/>
  <c r="M246" i="4"/>
  <c r="I245" i="4"/>
  <c r="H245" i="4"/>
  <c r="M278" i="4"/>
  <c r="I277" i="4"/>
  <c r="H277" i="4"/>
  <c r="M310" i="4"/>
  <c r="I309" i="4"/>
  <c r="H309" i="4"/>
  <c r="M342" i="4"/>
  <c r="I341" i="4"/>
  <c r="H341" i="4"/>
  <c r="M374" i="4"/>
  <c r="I373" i="4"/>
  <c r="H373" i="4"/>
  <c r="M406" i="4"/>
  <c r="I405" i="4"/>
  <c r="H405" i="4"/>
  <c r="M446" i="4"/>
  <c r="I445" i="4"/>
  <c r="H445" i="4"/>
  <c r="M478" i="4"/>
  <c r="I477" i="4"/>
  <c r="H477" i="4"/>
  <c r="M113" i="4"/>
  <c r="H112" i="4"/>
  <c r="I112" i="4"/>
  <c r="M289" i="4"/>
  <c r="I288" i="4"/>
  <c r="H288" i="4"/>
  <c r="M473" i="4"/>
  <c r="H472" i="4"/>
  <c r="I472" i="4"/>
  <c r="M145" i="4"/>
  <c r="I144" i="4"/>
  <c r="H144" i="4"/>
  <c r="M377" i="4"/>
  <c r="H376" i="4"/>
  <c r="I376" i="4"/>
  <c r="M194" i="4"/>
  <c r="I193" i="4"/>
  <c r="H193" i="4"/>
  <c r="M226" i="4"/>
  <c r="I225" i="4"/>
  <c r="H225" i="4"/>
  <c r="M258" i="4"/>
  <c r="I257" i="4"/>
  <c r="H257" i="4"/>
  <c r="M290" i="4"/>
  <c r="I289" i="4"/>
  <c r="H289" i="4"/>
  <c r="M322" i="4"/>
  <c r="I321" i="4"/>
  <c r="H321" i="4"/>
  <c r="M354" i="4"/>
  <c r="I353" i="4"/>
  <c r="H353" i="4"/>
  <c r="M386" i="4"/>
  <c r="I385" i="4"/>
  <c r="H385" i="4"/>
  <c r="M418" i="4"/>
  <c r="I417" i="4"/>
  <c r="H417" i="4"/>
  <c r="M450" i="4"/>
  <c r="I449" i="4"/>
  <c r="H449" i="4"/>
  <c r="M482" i="4"/>
  <c r="I481" i="4"/>
  <c r="H481" i="4"/>
  <c r="M129" i="4"/>
  <c r="H128" i="4"/>
  <c r="I128" i="4"/>
  <c r="M401" i="4"/>
  <c r="I400" i="4"/>
  <c r="H400" i="4"/>
  <c r="M360" i="4"/>
  <c r="I359" i="4"/>
  <c r="H359" i="4"/>
  <c r="M171" i="4"/>
  <c r="I170" i="4"/>
  <c r="H170" i="4"/>
  <c r="M459" i="4"/>
  <c r="I458" i="4"/>
  <c r="H458" i="4"/>
  <c r="M204" i="4"/>
  <c r="I203" i="4"/>
  <c r="H203" i="4"/>
  <c r="M372" i="4"/>
  <c r="I371" i="4"/>
  <c r="H371" i="4"/>
  <c r="M270" i="4"/>
  <c r="I269" i="4"/>
  <c r="H269" i="4"/>
  <c r="M241" i="4"/>
  <c r="I240" i="4"/>
  <c r="H240" i="4"/>
  <c r="D10" i="4"/>
  <c r="M117" i="4"/>
  <c r="I116" i="4"/>
  <c r="H116" i="4"/>
  <c r="M110" i="4"/>
  <c r="I109" i="4"/>
  <c r="H109" i="4"/>
  <c r="M111" i="4"/>
  <c r="H110" i="4"/>
  <c r="I110" i="4"/>
  <c r="M304" i="4"/>
  <c r="I303" i="4"/>
  <c r="H303" i="4"/>
  <c r="M336" i="4"/>
  <c r="I335" i="4"/>
  <c r="H335" i="4"/>
  <c r="M400" i="4"/>
  <c r="I399" i="4"/>
  <c r="H399" i="4"/>
  <c r="M464" i="4"/>
  <c r="H463" i="4"/>
  <c r="I463" i="4"/>
  <c r="M130" i="4"/>
  <c r="I129" i="4"/>
  <c r="H129" i="4"/>
  <c r="M115" i="4"/>
  <c r="H114" i="4"/>
  <c r="I114" i="4"/>
  <c r="M179" i="4"/>
  <c r="H178" i="4"/>
  <c r="I178" i="4"/>
  <c r="M243" i="4"/>
  <c r="I242" i="4"/>
  <c r="H242" i="4"/>
  <c r="M371" i="4"/>
  <c r="I370" i="4"/>
  <c r="H370" i="4"/>
  <c r="M467" i="4"/>
  <c r="I466" i="4"/>
  <c r="H466" i="4"/>
  <c r="M121" i="4"/>
  <c r="I120" i="4"/>
  <c r="H120" i="4"/>
  <c r="M40" i="4"/>
  <c r="M65" i="4"/>
  <c r="M88" i="4"/>
  <c r="M16" i="4"/>
  <c r="M55" i="4"/>
  <c r="M78" i="4"/>
  <c r="M101" i="4"/>
  <c r="M60" i="4"/>
  <c r="M83" i="4"/>
  <c r="M109" i="4"/>
  <c r="I108" i="4"/>
  <c r="H108" i="4"/>
  <c r="M149" i="4"/>
  <c r="I148" i="4"/>
  <c r="H148" i="4"/>
  <c r="M181" i="4"/>
  <c r="I180" i="4"/>
  <c r="H180" i="4"/>
  <c r="M152" i="4"/>
  <c r="I151" i="4"/>
  <c r="H151" i="4"/>
  <c r="M184" i="4"/>
  <c r="I183" i="4"/>
  <c r="H183" i="4"/>
  <c r="M216" i="4"/>
  <c r="I215" i="4"/>
  <c r="H215" i="4"/>
  <c r="M248" i="4"/>
  <c r="I247" i="4"/>
  <c r="H247" i="4"/>
  <c r="M280" i="4"/>
  <c r="I279" i="4"/>
  <c r="H279" i="4"/>
  <c r="M211" i="4"/>
  <c r="I210" i="4"/>
  <c r="H210" i="4"/>
  <c r="M275" i="4"/>
  <c r="I274" i="4"/>
  <c r="H274" i="4"/>
  <c r="M339" i="4"/>
  <c r="I338" i="4"/>
  <c r="H338" i="4"/>
  <c r="M403" i="4"/>
  <c r="I402" i="4"/>
  <c r="H402" i="4"/>
  <c r="M435" i="4"/>
  <c r="I434" i="4"/>
  <c r="H434" i="4"/>
  <c r="M444" i="4"/>
  <c r="H443" i="4"/>
  <c r="I443" i="4"/>
  <c r="M213" i="4"/>
  <c r="I212" i="4"/>
  <c r="H212" i="4"/>
  <c r="M245" i="4"/>
  <c r="I244" i="4"/>
  <c r="H244" i="4"/>
  <c r="M277" i="4"/>
  <c r="I276" i="4"/>
  <c r="H276" i="4"/>
  <c r="M309" i="4"/>
  <c r="I308" i="4"/>
  <c r="H308" i="4"/>
  <c r="M341" i="4"/>
  <c r="I340" i="4"/>
  <c r="H340" i="4"/>
  <c r="M373" i="4"/>
  <c r="I372" i="4"/>
  <c r="H372" i="4"/>
  <c r="M405" i="4"/>
  <c r="I404" i="4"/>
  <c r="H404" i="4"/>
  <c r="M437" i="4"/>
  <c r="I436" i="4"/>
  <c r="H436" i="4"/>
  <c r="M469" i="4"/>
  <c r="I468" i="4"/>
  <c r="H468" i="4"/>
  <c r="M501" i="4"/>
  <c r="I500" i="4"/>
  <c r="H500" i="4"/>
  <c r="M345" i="4"/>
  <c r="H344" i="4"/>
  <c r="I344" i="4"/>
  <c r="M268" i="4"/>
  <c r="I267" i="4"/>
  <c r="H267" i="4"/>
  <c r="M151" i="4"/>
  <c r="H150" i="4"/>
  <c r="I150" i="4"/>
  <c r="M183" i="4"/>
  <c r="I182" i="4"/>
  <c r="H182" i="4"/>
  <c r="M215" i="4"/>
  <c r="H214" i="4"/>
  <c r="I214" i="4"/>
  <c r="M247" i="4"/>
  <c r="H246" i="4"/>
  <c r="I246" i="4"/>
  <c r="M279" i="4"/>
  <c r="H278" i="4"/>
  <c r="I278" i="4"/>
  <c r="M311" i="4"/>
  <c r="H310" i="4"/>
  <c r="I310" i="4"/>
  <c r="M343" i="4"/>
  <c r="H342" i="4"/>
  <c r="I342" i="4"/>
  <c r="M375" i="4"/>
  <c r="H374" i="4"/>
  <c r="I374" i="4"/>
  <c r="M407" i="4"/>
  <c r="H406" i="4"/>
  <c r="I406" i="4"/>
  <c r="M439" i="4"/>
  <c r="H438" i="4"/>
  <c r="I438" i="4"/>
  <c r="M503" i="4"/>
  <c r="H502" i="4"/>
  <c r="I502" i="4"/>
  <c r="M321" i="4"/>
  <c r="I320" i="4"/>
  <c r="H320" i="4"/>
  <c r="M328" i="4"/>
  <c r="I327" i="4"/>
  <c r="H327" i="4"/>
  <c r="M154" i="4"/>
  <c r="I153" i="4"/>
  <c r="H153" i="4"/>
  <c r="M331" i="4"/>
  <c r="H330" i="4"/>
  <c r="I330" i="4"/>
  <c r="M108" i="4"/>
  <c r="I107" i="4"/>
  <c r="H107" i="4"/>
  <c r="M436" i="4"/>
  <c r="I435" i="4"/>
  <c r="H435" i="4"/>
  <c r="M502" i="4"/>
  <c r="I501" i="4"/>
  <c r="H501" i="4"/>
  <c r="M263" i="4"/>
  <c r="H262" i="4"/>
  <c r="I262" i="4"/>
  <c r="M474" i="4"/>
  <c r="I473" i="4"/>
  <c r="H473" i="4"/>
  <c r="M58" i="4"/>
  <c r="M29" i="4"/>
  <c r="M80" i="4"/>
  <c r="M47" i="4"/>
  <c r="M70" i="4"/>
  <c r="M93" i="4"/>
  <c r="M75" i="4"/>
  <c r="M118" i="4"/>
  <c r="I117" i="4"/>
  <c r="H117" i="4"/>
  <c r="M158" i="4"/>
  <c r="I157" i="4"/>
  <c r="H157" i="4"/>
  <c r="M119" i="4"/>
  <c r="I118" i="4"/>
  <c r="H118" i="4"/>
  <c r="M120" i="4"/>
  <c r="I119" i="4"/>
  <c r="H119" i="4"/>
  <c r="M312" i="4"/>
  <c r="I311" i="4"/>
  <c r="H311" i="4"/>
  <c r="M344" i="4"/>
  <c r="I343" i="4"/>
  <c r="H343" i="4"/>
  <c r="M376" i="4"/>
  <c r="I375" i="4"/>
  <c r="H375" i="4"/>
  <c r="M408" i="4"/>
  <c r="I407" i="4"/>
  <c r="H407" i="4"/>
  <c r="M440" i="4"/>
  <c r="H439" i="4"/>
  <c r="I439" i="4"/>
  <c r="M472" i="4"/>
  <c r="H471" i="4"/>
  <c r="I471" i="4"/>
  <c r="M106" i="4"/>
  <c r="I105" i="4"/>
  <c r="H105" i="4"/>
  <c r="M138" i="4"/>
  <c r="I137" i="4"/>
  <c r="H137" i="4"/>
  <c r="M170" i="4"/>
  <c r="I169" i="4"/>
  <c r="H169" i="4"/>
  <c r="M123" i="4"/>
  <c r="I122" i="4"/>
  <c r="H122" i="4"/>
  <c r="M155" i="4"/>
  <c r="H154" i="4"/>
  <c r="I154" i="4"/>
  <c r="M219" i="4"/>
  <c r="H218" i="4"/>
  <c r="I218" i="4"/>
  <c r="M283" i="4"/>
  <c r="H282" i="4"/>
  <c r="I282" i="4"/>
  <c r="M347" i="4"/>
  <c r="H346" i="4"/>
  <c r="I346" i="4"/>
  <c r="M411" i="4"/>
  <c r="H410" i="4"/>
  <c r="I410" i="4"/>
  <c r="M475" i="4"/>
  <c r="H474" i="4"/>
  <c r="I474" i="4"/>
  <c r="M169" i="4"/>
  <c r="H168" i="4"/>
  <c r="I168" i="4"/>
  <c r="M433" i="4"/>
  <c r="I432" i="4"/>
  <c r="H432" i="4"/>
  <c r="M124" i="4"/>
  <c r="I123" i="4"/>
  <c r="H123" i="4"/>
  <c r="M156" i="4"/>
  <c r="I155" i="4"/>
  <c r="H155" i="4"/>
  <c r="M188" i="4"/>
  <c r="I187" i="4"/>
  <c r="H187" i="4"/>
  <c r="M220" i="4"/>
  <c r="I219" i="4"/>
  <c r="H219" i="4"/>
  <c r="M252" i="4"/>
  <c r="I251" i="4"/>
  <c r="H251" i="4"/>
  <c r="M292" i="4"/>
  <c r="I291" i="4"/>
  <c r="H291" i="4"/>
  <c r="M324" i="4"/>
  <c r="I323" i="4"/>
  <c r="H323" i="4"/>
  <c r="M356" i="4"/>
  <c r="I355" i="4"/>
  <c r="H355" i="4"/>
  <c r="M388" i="4"/>
  <c r="I387" i="4"/>
  <c r="H387" i="4"/>
  <c r="M420" i="4"/>
  <c r="I419" i="4"/>
  <c r="H419" i="4"/>
  <c r="M452" i="4"/>
  <c r="I451" i="4"/>
  <c r="H451" i="4"/>
  <c r="M484" i="4"/>
  <c r="I483" i="4"/>
  <c r="H483" i="4"/>
  <c r="M161" i="4"/>
  <c r="I160" i="4"/>
  <c r="H160" i="4"/>
  <c r="M409" i="4"/>
  <c r="H408" i="4"/>
  <c r="I408" i="4"/>
  <c r="M190" i="4"/>
  <c r="I189" i="4"/>
  <c r="H189" i="4"/>
  <c r="M222" i="4"/>
  <c r="I221" i="4"/>
  <c r="H221" i="4"/>
  <c r="M254" i="4"/>
  <c r="I253" i="4"/>
  <c r="H253" i="4"/>
  <c r="M286" i="4"/>
  <c r="I285" i="4"/>
  <c r="H285" i="4"/>
  <c r="M318" i="4"/>
  <c r="I317" i="4"/>
  <c r="H317" i="4"/>
  <c r="M350" i="4"/>
  <c r="I349" i="4"/>
  <c r="H349" i="4"/>
  <c r="M382" i="4"/>
  <c r="I381" i="4"/>
  <c r="H381" i="4"/>
  <c r="M414" i="4"/>
  <c r="I413" i="4"/>
  <c r="H413" i="4"/>
  <c r="M454" i="4"/>
  <c r="I453" i="4"/>
  <c r="H453" i="4"/>
  <c r="M486" i="4"/>
  <c r="I485" i="4"/>
  <c r="H485" i="4"/>
  <c r="M137" i="4"/>
  <c r="H136" i="4"/>
  <c r="I136" i="4"/>
  <c r="M329" i="4"/>
  <c r="H328" i="4"/>
  <c r="I328" i="4"/>
  <c r="M353" i="4"/>
  <c r="I352" i="4"/>
  <c r="H352" i="4"/>
  <c r="M471" i="4"/>
  <c r="H470" i="4"/>
  <c r="I470" i="4"/>
  <c r="M233" i="4"/>
  <c r="H232" i="4"/>
  <c r="I232" i="4"/>
  <c r="M417" i="4"/>
  <c r="I416" i="4"/>
  <c r="H416" i="4"/>
  <c r="M202" i="4"/>
  <c r="I201" i="4"/>
  <c r="H201" i="4"/>
  <c r="M234" i="4"/>
  <c r="I233" i="4"/>
  <c r="H233" i="4"/>
  <c r="M266" i="4"/>
  <c r="I265" i="4"/>
  <c r="H265" i="4"/>
  <c r="M298" i="4"/>
  <c r="I297" i="4"/>
  <c r="H297" i="4"/>
  <c r="M330" i="4"/>
  <c r="I329" i="4"/>
  <c r="H329" i="4"/>
  <c r="M362" i="4"/>
  <c r="I361" i="4"/>
  <c r="H361" i="4"/>
  <c r="M394" i="4"/>
  <c r="I393" i="4"/>
  <c r="H393" i="4"/>
  <c r="M426" i="4"/>
  <c r="I425" i="4"/>
  <c r="H425" i="4"/>
  <c r="M458" i="4"/>
  <c r="I457" i="4"/>
  <c r="H457" i="4"/>
  <c r="M490" i="4"/>
  <c r="I489" i="4"/>
  <c r="H489" i="4"/>
  <c r="M193" i="4"/>
  <c r="H192" i="4"/>
  <c r="I192" i="4"/>
  <c r="M457" i="4"/>
  <c r="I456" i="4"/>
  <c r="H456" i="4"/>
  <c r="M488" i="4"/>
  <c r="I487" i="4"/>
  <c r="H487" i="4"/>
  <c r="M267" i="4"/>
  <c r="H266" i="4"/>
  <c r="I266" i="4"/>
  <c r="M499" i="4"/>
  <c r="I498" i="4"/>
  <c r="H498" i="4"/>
  <c r="M308" i="4"/>
  <c r="I307" i="4"/>
  <c r="H307" i="4"/>
  <c r="M273" i="4"/>
  <c r="I272" i="4"/>
  <c r="H272" i="4"/>
  <c r="M453" i="4"/>
  <c r="H452" i="4"/>
  <c r="I452" i="4"/>
  <c r="M425" i="4"/>
  <c r="H424" i="4"/>
  <c r="I424" i="4"/>
  <c r="M361" i="4"/>
  <c r="H360" i="4"/>
  <c r="I360" i="4"/>
  <c r="M314" i="4"/>
  <c r="I313" i="4"/>
  <c r="H313" i="4"/>
  <c r="M442" i="4"/>
  <c r="I441" i="4"/>
  <c r="H441" i="4"/>
  <c r="M125" i="4"/>
  <c r="I124" i="4"/>
  <c r="H124" i="4"/>
  <c r="M157" i="4"/>
  <c r="I156" i="4"/>
  <c r="H156" i="4"/>
  <c r="M189" i="4"/>
  <c r="I188" i="4"/>
  <c r="H188" i="4"/>
  <c r="M128" i="4"/>
  <c r="I127" i="4"/>
  <c r="H127" i="4"/>
  <c r="M160" i="4"/>
  <c r="I159" i="4"/>
  <c r="H159" i="4"/>
  <c r="M192" i="4"/>
  <c r="I191" i="4"/>
  <c r="H191" i="4"/>
  <c r="M224" i="4"/>
  <c r="I223" i="4"/>
  <c r="H223" i="4"/>
  <c r="M256" i="4"/>
  <c r="I255" i="4"/>
  <c r="H255" i="4"/>
  <c r="M187" i="4"/>
  <c r="I186" i="4"/>
  <c r="H186" i="4"/>
  <c r="M251" i="4"/>
  <c r="H250" i="4"/>
  <c r="I250" i="4"/>
  <c r="M315" i="4"/>
  <c r="H314" i="4"/>
  <c r="I314" i="4"/>
  <c r="M379" i="4"/>
  <c r="H378" i="4"/>
  <c r="I378" i="4"/>
  <c r="M443" i="4"/>
  <c r="H442" i="4"/>
  <c r="I442" i="4"/>
  <c r="M221" i="4"/>
  <c r="I220" i="4"/>
  <c r="H220" i="4"/>
  <c r="M253" i="4"/>
  <c r="I252" i="4"/>
  <c r="H252" i="4"/>
  <c r="M285" i="4"/>
  <c r="I284" i="4"/>
  <c r="H284" i="4"/>
  <c r="M317" i="4"/>
  <c r="H316" i="4"/>
  <c r="I316" i="4"/>
  <c r="M349" i="4"/>
  <c r="I348" i="4"/>
  <c r="H348" i="4"/>
  <c r="M381" i="4"/>
  <c r="I380" i="4"/>
  <c r="H380" i="4"/>
  <c r="M413" i="4"/>
  <c r="I412" i="4"/>
  <c r="H412" i="4"/>
  <c r="M445" i="4"/>
  <c r="I444" i="4"/>
  <c r="H444" i="4"/>
  <c r="M477" i="4"/>
  <c r="I476" i="4"/>
  <c r="H476" i="4"/>
  <c r="M177" i="4"/>
  <c r="H176" i="4"/>
  <c r="I176" i="4"/>
  <c r="M385" i="4"/>
  <c r="I384" i="4"/>
  <c r="H384" i="4"/>
  <c r="M127" i="4"/>
  <c r="H126" i="4"/>
  <c r="I126" i="4"/>
  <c r="M159" i="4"/>
  <c r="H158" i="4"/>
  <c r="I158" i="4"/>
  <c r="M191" i="4"/>
  <c r="H190" i="4"/>
  <c r="I190" i="4"/>
  <c r="M223" i="4"/>
  <c r="H222" i="4"/>
  <c r="I222" i="4"/>
  <c r="M255" i="4"/>
  <c r="H254" i="4"/>
  <c r="I254" i="4"/>
  <c r="M287" i="4"/>
  <c r="H286" i="4"/>
  <c r="I286" i="4"/>
  <c r="M319" i="4"/>
  <c r="H318" i="4"/>
  <c r="I318" i="4"/>
  <c r="M351" i="4"/>
  <c r="H350" i="4"/>
  <c r="I350" i="4"/>
  <c r="M383" i="4"/>
  <c r="H382" i="4"/>
  <c r="I382" i="4"/>
  <c r="M447" i="4"/>
  <c r="H446" i="4"/>
  <c r="I446" i="4"/>
  <c r="M479" i="4"/>
  <c r="H478" i="4"/>
  <c r="I478" i="4"/>
  <c r="M153" i="4"/>
  <c r="H152" i="4"/>
  <c r="I152" i="4"/>
  <c r="M393" i="4"/>
  <c r="H392" i="4"/>
  <c r="I392" i="4"/>
  <c r="M296" i="4"/>
  <c r="I295" i="4"/>
  <c r="H295" i="4"/>
  <c r="M122" i="4"/>
  <c r="I121" i="4"/>
  <c r="H121" i="4"/>
  <c r="M395" i="4"/>
  <c r="H394" i="4"/>
  <c r="I394" i="4"/>
  <c r="M236" i="4"/>
  <c r="I235" i="4"/>
  <c r="H235" i="4"/>
  <c r="M404" i="4"/>
  <c r="I403" i="4"/>
  <c r="H403" i="4"/>
  <c r="M334" i="4"/>
  <c r="I333" i="4"/>
  <c r="H333" i="4"/>
  <c r="M150" i="4"/>
  <c r="I149" i="4"/>
  <c r="H149" i="4"/>
  <c r="M352" i="4"/>
  <c r="I351" i="4"/>
  <c r="H351" i="4"/>
  <c r="M416" i="4"/>
  <c r="I415" i="4"/>
  <c r="H415" i="4"/>
  <c r="M146" i="4"/>
  <c r="I145" i="4"/>
  <c r="H145" i="4"/>
  <c r="M131" i="4"/>
  <c r="H130" i="4"/>
  <c r="I130" i="4"/>
  <c r="M291" i="4"/>
  <c r="I290" i="4"/>
  <c r="H290" i="4"/>
  <c r="M419" i="4"/>
  <c r="I418" i="4"/>
  <c r="H418" i="4"/>
  <c r="M201" i="4"/>
  <c r="H200" i="4"/>
  <c r="I200" i="4"/>
  <c r="M481" i="4"/>
  <c r="H480" i="4"/>
  <c r="I480" i="4"/>
  <c r="M132" i="4"/>
  <c r="I131" i="4"/>
  <c r="H131" i="4"/>
  <c r="M164" i="4"/>
  <c r="I163" i="4"/>
  <c r="H163" i="4"/>
  <c r="M196" i="4"/>
  <c r="I195" i="4"/>
  <c r="H195" i="4"/>
  <c r="M228" i="4"/>
  <c r="I227" i="4"/>
  <c r="H227" i="4"/>
  <c r="M260" i="4"/>
  <c r="I259" i="4"/>
  <c r="H259" i="4"/>
  <c r="M300" i="4"/>
  <c r="I299" i="4"/>
  <c r="H299" i="4"/>
  <c r="M332" i="4"/>
  <c r="I331" i="4"/>
  <c r="H331" i="4"/>
  <c r="M364" i="4"/>
  <c r="I363" i="4"/>
  <c r="H363" i="4"/>
  <c r="M396" i="4"/>
  <c r="I395" i="4"/>
  <c r="H395" i="4"/>
  <c r="M428" i="4"/>
  <c r="I427" i="4"/>
  <c r="H427" i="4"/>
  <c r="M460" i="4"/>
  <c r="I459" i="4"/>
  <c r="H459" i="4"/>
  <c r="M492" i="4"/>
  <c r="I491" i="4"/>
  <c r="H491" i="4"/>
  <c r="M217" i="4"/>
  <c r="H216" i="4"/>
  <c r="I216" i="4"/>
  <c r="M449" i="4"/>
  <c r="H448" i="4"/>
  <c r="I448" i="4"/>
  <c r="M198" i="4"/>
  <c r="I197" i="4"/>
  <c r="H197" i="4"/>
  <c r="M230" i="4"/>
  <c r="I229" i="4"/>
  <c r="H229" i="4"/>
  <c r="M262" i="4"/>
  <c r="I261" i="4"/>
  <c r="H261" i="4"/>
  <c r="M294" i="4"/>
  <c r="I293" i="4"/>
  <c r="H293" i="4"/>
  <c r="M326" i="4"/>
  <c r="I325" i="4"/>
  <c r="H325" i="4"/>
  <c r="M358" i="4"/>
  <c r="I357" i="4"/>
  <c r="H357" i="4"/>
  <c r="M390" i="4"/>
  <c r="I389" i="4"/>
  <c r="H389" i="4"/>
  <c r="M422" i="4"/>
  <c r="I421" i="4"/>
  <c r="H421" i="4"/>
  <c r="M494" i="4"/>
  <c r="I493" i="4"/>
  <c r="H493" i="4"/>
  <c r="M185" i="4"/>
  <c r="I184" i="4"/>
  <c r="H184" i="4"/>
  <c r="M369" i="4"/>
  <c r="I368" i="4"/>
  <c r="H368" i="4"/>
  <c r="M415" i="4"/>
  <c r="H414" i="4"/>
  <c r="I414" i="4"/>
  <c r="M297" i="4"/>
  <c r="H296" i="4"/>
  <c r="I296" i="4"/>
  <c r="M489" i="4"/>
  <c r="I488" i="4"/>
  <c r="H488" i="4"/>
  <c r="M210" i="4"/>
  <c r="I209" i="4"/>
  <c r="H209" i="4"/>
  <c r="M242" i="4"/>
  <c r="I241" i="4"/>
  <c r="H241" i="4"/>
  <c r="M274" i="4"/>
  <c r="I273" i="4"/>
  <c r="H273" i="4"/>
  <c r="M306" i="4"/>
  <c r="I305" i="4"/>
  <c r="H305" i="4"/>
  <c r="M338" i="4"/>
  <c r="I337" i="4"/>
  <c r="H337" i="4"/>
  <c r="M370" i="4"/>
  <c r="I369" i="4"/>
  <c r="H369" i="4"/>
  <c r="M402" i="4"/>
  <c r="I401" i="4"/>
  <c r="H401" i="4"/>
  <c r="M434" i="4"/>
  <c r="I433" i="4"/>
  <c r="H433" i="4"/>
  <c r="M466" i="4"/>
  <c r="I465" i="4"/>
  <c r="H465" i="4"/>
  <c r="M498" i="4"/>
  <c r="I497" i="4"/>
  <c r="H497" i="4"/>
  <c r="M257" i="4"/>
  <c r="I256" i="4"/>
  <c r="H256" i="4"/>
  <c r="M97" i="4"/>
  <c r="M56" i="4"/>
  <c r="M87" i="4"/>
  <c r="M45" i="4"/>
  <c r="M69" i="4"/>
  <c r="M92" i="4"/>
  <c r="M89" i="4"/>
  <c r="M79" i="4"/>
  <c r="M102" i="4"/>
  <c r="M61" i="4"/>
  <c r="M84" i="4"/>
  <c r="M71" i="4"/>
  <c r="M94" i="4"/>
  <c r="M76" i="4"/>
  <c r="M99" i="4"/>
  <c r="M63" i="4"/>
  <c r="M68" i="4"/>
  <c r="M57" i="4"/>
  <c r="M72" i="4"/>
  <c r="M62" i="4"/>
  <c r="M85" i="4"/>
  <c r="M67" i="4"/>
  <c r="M64" i="4"/>
  <c r="M95" i="4"/>
  <c r="M77" i="4"/>
  <c r="M100" i="4"/>
  <c r="M59" i="4"/>
  <c r="M9" i="4"/>
  <c r="M28" i="4"/>
  <c r="M15" i="4"/>
  <c r="M51" i="4"/>
  <c r="M22" i="4"/>
  <c r="M48" i="4"/>
  <c r="M35" i="4"/>
  <c r="M11" i="4"/>
  <c r="M14" i="4"/>
  <c r="M7" i="4"/>
  <c r="M24" i="4"/>
  <c r="M53" i="4"/>
  <c r="M31" i="4"/>
  <c r="M6" i="4"/>
  <c r="M27" i="4"/>
  <c r="M44" i="4"/>
  <c r="M20" i="4"/>
  <c r="M42" i="4"/>
  <c r="M3" i="4"/>
  <c r="M4" i="4"/>
  <c r="N3" i="4"/>
  <c r="N4" i="4" s="1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M34" i="4"/>
  <c r="M5" i="4"/>
  <c r="M23" i="4"/>
  <c r="M52" i="4"/>
  <c r="M46" i="4"/>
  <c r="M26" i="4"/>
  <c r="M49" i="4"/>
  <c r="M36" i="4"/>
  <c r="M12" i="4"/>
  <c r="M43" i="4"/>
  <c r="M38" i="4"/>
  <c r="M18" i="4"/>
  <c r="M39" i="4"/>
  <c r="M54" i="4"/>
  <c r="M32" i="4"/>
  <c r="M10" i="4"/>
  <c r="I97" i="4"/>
  <c r="H97" i="4"/>
  <c r="I28" i="4"/>
  <c r="H28" i="4"/>
  <c r="I79" i="4"/>
  <c r="H79" i="4"/>
  <c r="I69" i="4"/>
  <c r="H69" i="4"/>
  <c r="I51" i="4"/>
  <c r="H51" i="4"/>
  <c r="H74" i="4"/>
  <c r="I74" i="4"/>
  <c r="I45" i="4"/>
  <c r="H45" i="4"/>
  <c r="I25" i="4"/>
  <c r="H25" i="4"/>
  <c r="I89" i="4"/>
  <c r="H89" i="4"/>
  <c r="H18" i="4"/>
  <c r="I18" i="4"/>
  <c r="I48" i="4"/>
  <c r="H48" i="4"/>
  <c r="I71" i="4"/>
  <c r="H71" i="4"/>
  <c r="I102" i="4"/>
  <c r="H102" i="4"/>
  <c r="I35" i="4"/>
  <c r="H35" i="4"/>
  <c r="I61" i="4"/>
  <c r="H61" i="4"/>
  <c r="I84" i="4"/>
  <c r="H84" i="4"/>
  <c r="I11" i="4"/>
  <c r="H11" i="4"/>
  <c r="H42" i="4"/>
  <c r="I42" i="4"/>
  <c r="H66" i="4"/>
  <c r="I66" i="4"/>
  <c r="I37" i="4"/>
  <c r="H37" i="4"/>
  <c r="I17" i="4"/>
  <c r="H17" i="4"/>
  <c r="I56" i="4"/>
  <c r="H56" i="4"/>
  <c r="I81" i="4"/>
  <c r="H81" i="4"/>
  <c r="I7" i="4"/>
  <c r="H7" i="4"/>
  <c r="I38" i="4"/>
  <c r="H38" i="4"/>
  <c r="I63" i="4"/>
  <c r="H63" i="4"/>
  <c r="I94" i="4"/>
  <c r="H94" i="4"/>
  <c r="I24" i="4"/>
  <c r="H24" i="4"/>
  <c r="I53" i="4"/>
  <c r="H53" i="4"/>
  <c r="I76" i="4"/>
  <c r="H76" i="4"/>
  <c r="I99" i="4"/>
  <c r="H99" i="4"/>
  <c r="I31" i="4"/>
  <c r="H31" i="4"/>
  <c r="H58" i="4"/>
  <c r="I58" i="4"/>
  <c r="I29" i="4"/>
  <c r="H29" i="4"/>
  <c r="I9" i="4"/>
  <c r="H9" i="4"/>
  <c r="I4" i="4"/>
  <c r="H4" i="4"/>
  <c r="I73" i="4"/>
  <c r="H73" i="4"/>
  <c r="I96" i="4"/>
  <c r="H96" i="4"/>
  <c r="I27" i="4"/>
  <c r="H27" i="4"/>
  <c r="I55" i="4"/>
  <c r="H55" i="4"/>
  <c r="H86" i="4"/>
  <c r="I86" i="4"/>
  <c r="I14" i="4"/>
  <c r="H14" i="4"/>
  <c r="I44" i="4"/>
  <c r="H44" i="4"/>
  <c r="I68" i="4"/>
  <c r="H68" i="4"/>
  <c r="I91" i="4"/>
  <c r="H91" i="4"/>
  <c r="I20" i="4"/>
  <c r="H20" i="4"/>
  <c r="H50" i="4"/>
  <c r="I50" i="4"/>
  <c r="I21" i="4"/>
  <c r="H21" i="4"/>
  <c r="H22" i="4"/>
  <c r="I22" i="4"/>
  <c r="I65" i="4"/>
  <c r="H65" i="4"/>
  <c r="I88" i="4"/>
  <c r="H88" i="4"/>
  <c r="I16" i="4"/>
  <c r="H16" i="4"/>
  <c r="I47" i="4"/>
  <c r="H47" i="4"/>
  <c r="I78" i="4"/>
  <c r="H78" i="4"/>
  <c r="I101" i="4"/>
  <c r="H101" i="4"/>
  <c r="H34" i="4"/>
  <c r="I34" i="4"/>
  <c r="I60" i="4"/>
  <c r="H60" i="4"/>
  <c r="I83" i="4"/>
  <c r="H83" i="4"/>
  <c r="H10" i="4"/>
  <c r="I10" i="4"/>
  <c r="I40" i="4"/>
  <c r="H40" i="4"/>
  <c r="I13" i="4"/>
  <c r="H13" i="4"/>
  <c r="I92" i="4"/>
  <c r="H92" i="4"/>
  <c r="I57" i="4"/>
  <c r="H57" i="4"/>
  <c r="I80" i="4"/>
  <c r="H80" i="4"/>
  <c r="I6" i="4"/>
  <c r="H6" i="4"/>
  <c r="I36" i="4"/>
  <c r="H36" i="4"/>
  <c r="I70" i="4"/>
  <c r="H70" i="4"/>
  <c r="I93" i="4"/>
  <c r="H93" i="4"/>
  <c r="I23" i="4"/>
  <c r="H23" i="4"/>
  <c r="I52" i="4"/>
  <c r="H52" i="4"/>
  <c r="I75" i="4"/>
  <c r="H75" i="4"/>
  <c r="H98" i="4"/>
  <c r="I98" i="4"/>
  <c r="H30" i="4"/>
  <c r="I30" i="4"/>
  <c r="I5" i="4"/>
  <c r="H5" i="4"/>
  <c r="I49" i="4"/>
  <c r="H49" i="4"/>
  <c r="I72" i="4"/>
  <c r="H72" i="4"/>
  <c r="H95" i="4"/>
  <c r="I95" i="4"/>
  <c r="H26" i="4"/>
  <c r="I26" i="4"/>
  <c r="I62" i="4"/>
  <c r="H62" i="4"/>
  <c r="I85" i="4"/>
  <c r="H85" i="4"/>
  <c r="I12" i="4"/>
  <c r="H12" i="4"/>
  <c r="I43" i="4"/>
  <c r="H43" i="4"/>
  <c r="I67" i="4"/>
  <c r="H67" i="4"/>
  <c r="H90" i="4"/>
  <c r="I90" i="4"/>
  <c r="I19" i="4"/>
  <c r="H19" i="4"/>
  <c r="I41" i="4"/>
  <c r="H41" i="4"/>
  <c r="H46" i="4"/>
  <c r="I46" i="4"/>
  <c r="I3" i="4"/>
  <c r="H3" i="4"/>
  <c r="I39" i="4"/>
  <c r="H39" i="4"/>
  <c r="I64" i="4"/>
  <c r="H64" i="4"/>
  <c r="H87" i="4"/>
  <c r="I87" i="4"/>
  <c r="I15" i="4"/>
  <c r="H15" i="4"/>
  <c r="H54" i="4"/>
  <c r="I54" i="4"/>
  <c r="I77" i="4"/>
  <c r="H77" i="4"/>
  <c r="I100" i="4"/>
  <c r="H100" i="4"/>
  <c r="I32" i="4"/>
  <c r="H32" i="4"/>
  <c r="I59" i="4"/>
  <c r="H59" i="4"/>
  <c r="H82" i="4"/>
  <c r="I82" i="4"/>
  <c r="I8" i="4"/>
  <c r="H8" i="4"/>
  <c r="I33" i="4"/>
  <c r="H33" i="4"/>
  <c r="N204" i="4" l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N863" i="4" s="1"/>
  <c r="N864" i="4" s="1"/>
  <c r="N865" i="4" s="1"/>
  <c r="N866" i="4" s="1"/>
  <c r="N867" i="4" s="1"/>
  <c r="N868" i="4" s="1"/>
  <c r="N869" i="4" s="1"/>
  <c r="N870" i="4" s="1"/>
  <c r="N871" i="4" s="1"/>
  <c r="N872" i="4" s="1"/>
  <c r="N873" i="4" s="1"/>
  <c r="N874" i="4" s="1"/>
  <c r="N875" i="4" s="1"/>
  <c r="N876" i="4" s="1"/>
  <c r="N877" i="4" s="1"/>
  <c r="N878" i="4" s="1"/>
  <c r="N879" i="4" s="1"/>
  <c r="N880" i="4" s="1"/>
  <c r="N881" i="4" s="1"/>
  <c r="N882" i="4" s="1"/>
  <c r="N883" i="4" s="1"/>
  <c r="N884" i="4" s="1"/>
  <c r="N885" i="4" s="1"/>
  <c r="N886" i="4" s="1"/>
  <c r="N887" i="4" s="1"/>
  <c r="N888" i="4" s="1"/>
  <c r="N889" i="4" s="1"/>
  <c r="N890" i="4" s="1"/>
  <c r="N891" i="4" s="1"/>
  <c r="N892" i="4" s="1"/>
  <c r="N893" i="4" s="1"/>
  <c r="N894" i="4" s="1"/>
  <c r="N895" i="4" s="1"/>
  <c r="N896" i="4" s="1"/>
  <c r="N897" i="4" s="1"/>
  <c r="N898" i="4" s="1"/>
  <c r="N899" i="4" s="1"/>
  <c r="N900" i="4" s="1"/>
  <c r="N901" i="4" s="1"/>
  <c r="N902" i="4" s="1"/>
  <c r="N903" i="4" s="1"/>
  <c r="N904" i="4" s="1"/>
  <c r="N905" i="4" s="1"/>
  <c r="N906" i="4" s="1"/>
  <c r="N907" i="4" s="1"/>
  <c r="N908" i="4" s="1"/>
  <c r="N909" i="4" s="1"/>
  <c r="N910" i="4" s="1"/>
  <c r="N911" i="4" s="1"/>
  <c r="N912" i="4" s="1"/>
  <c r="N913" i="4" s="1"/>
  <c r="N914" i="4" s="1"/>
  <c r="N915" i="4" s="1"/>
  <c r="N916" i="4" s="1"/>
  <c r="N917" i="4" s="1"/>
  <c r="N918" i="4" s="1"/>
  <c r="N919" i="4" s="1"/>
  <c r="N920" i="4" s="1"/>
  <c r="N921" i="4" s="1"/>
  <c r="N922" i="4" s="1"/>
  <c r="N923" i="4" s="1"/>
  <c r="N924" i="4" s="1"/>
  <c r="N925" i="4" s="1"/>
  <c r="N926" i="4" s="1"/>
  <c r="N927" i="4" s="1"/>
  <c r="N928" i="4" s="1"/>
  <c r="N929" i="4" s="1"/>
  <c r="N930" i="4" s="1"/>
  <c r="N931" i="4" s="1"/>
  <c r="N932" i="4" s="1"/>
  <c r="N933" i="4" s="1"/>
  <c r="N934" i="4" s="1"/>
  <c r="N935" i="4" s="1"/>
  <c r="N936" i="4" s="1"/>
  <c r="N937" i="4" s="1"/>
  <c r="N938" i="4" s="1"/>
  <c r="N939" i="4" s="1"/>
  <c r="N940" i="4" s="1"/>
  <c r="N941" i="4" s="1"/>
  <c r="N942" i="4" s="1"/>
  <c r="N943" i="4" s="1"/>
  <c r="N944" i="4" s="1"/>
  <c r="N945" i="4" s="1"/>
  <c r="N946" i="4" s="1"/>
  <c r="N947" i="4" s="1"/>
  <c r="N948" i="4" s="1"/>
  <c r="N949" i="4" s="1"/>
  <c r="N950" i="4" s="1"/>
  <c r="N951" i="4" s="1"/>
  <c r="N952" i="4" s="1"/>
  <c r="N953" i="4" s="1"/>
  <c r="N954" i="4" s="1"/>
  <c r="N955" i="4" s="1"/>
  <c r="N956" i="4" s="1"/>
  <c r="N957" i="4" s="1"/>
  <c r="N958" i="4" s="1"/>
  <c r="N959" i="4" s="1"/>
  <c r="N960" i="4" s="1"/>
  <c r="N961" i="4" s="1"/>
  <c r="N962" i="4" s="1"/>
  <c r="N963" i="4" s="1"/>
  <c r="N964" i="4" s="1"/>
  <c r="N965" i="4" s="1"/>
  <c r="N966" i="4" s="1"/>
  <c r="N967" i="4" s="1"/>
  <c r="N968" i="4" s="1"/>
  <c r="N969" i="4" s="1"/>
  <c r="N970" i="4" s="1"/>
  <c r="N971" i="4" s="1"/>
  <c r="N972" i="4" s="1"/>
  <c r="N973" i="4" s="1"/>
  <c r="N974" i="4" s="1"/>
  <c r="N975" i="4" s="1"/>
  <c r="N976" i="4" s="1"/>
  <c r="N977" i="4" s="1"/>
  <c r="N978" i="4" s="1"/>
  <c r="N979" i="4" s="1"/>
  <c r="N980" i="4" s="1"/>
  <c r="N981" i="4" s="1"/>
  <c r="N982" i="4" s="1"/>
  <c r="N983" i="4" s="1"/>
  <c r="N984" i="4" s="1"/>
  <c r="N985" i="4" s="1"/>
  <c r="N986" i="4" s="1"/>
  <c r="N987" i="4" s="1"/>
  <c r="N988" i="4" s="1"/>
  <c r="N989" i="4" s="1"/>
  <c r="N990" i="4" s="1"/>
  <c r="N991" i="4" s="1"/>
  <c r="N992" i="4" s="1"/>
  <c r="N993" i="4" s="1"/>
  <c r="N994" i="4" s="1"/>
  <c r="N995" i="4" s="1"/>
  <c r="N996" i="4" s="1"/>
  <c r="N997" i="4" s="1"/>
  <c r="N998" i="4" s="1"/>
  <c r="N999" i="4" s="1"/>
  <c r="N1000" i="4" s="1"/>
  <c r="N1001" i="4" s="1"/>
  <c r="N1002" i="4" s="1"/>
  <c r="N1003" i="4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3" i="1"/>
  <c r="D15" i="4"/>
  <c r="D16" i="4" s="1"/>
  <c r="D17" i="4" s="1"/>
</calcChain>
</file>

<file path=xl/sharedStrings.xml><?xml version="1.0" encoding="utf-8"?>
<sst xmlns="http://schemas.openxmlformats.org/spreadsheetml/2006/main" count="60" uniqueCount="51">
  <si>
    <t>b.č.</t>
  </si>
  <si>
    <t>x1</t>
  </si>
  <si>
    <t>x2</t>
  </si>
  <si>
    <t>výška(y)</t>
  </si>
  <si>
    <t>h [mm]</t>
  </si>
  <si>
    <t>š [mm]</t>
  </si>
  <si>
    <t>S [mm2]</t>
  </si>
  <si>
    <t>dv</t>
  </si>
  <si>
    <t>šířka(x)</t>
  </si>
  <si>
    <t>COPY_XY</t>
  </si>
  <si>
    <t>COPY_Y=f(S)</t>
  </si>
  <si>
    <t>KRUH</t>
  </si>
  <si>
    <t>DN</t>
  </si>
  <si>
    <t>y</t>
  </si>
  <si>
    <t>id</t>
  </si>
  <si>
    <t>R</t>
  </si>
  <si>
    <t>jednotky</t>
  </si>
  <si>
    <t>mm</t>
  </si>
  <si>
    <t>H</t>
  </si>
  <si>
    <t>šířka výseče</t>
  </si>
  <si>
    <t>X</t>
  </si>
  <si>
    <t>v</t>
  </si>
  <si>
    <t>S</t>
  </si>
  <si>
    <t>Obsah kruhu</t>
  </si>
  <si>
    <t>ZADEJ --&gt;</t>
  </si>
  <si>
    <t>Rychlost média</t>
  </si>
  <si>
    <t>m/s</t>
  </si>
  <si>
    <t>Q</t>
  </si>
  <si>
    <t>Přibližný průtok</t>
  </si>
  <si>
    <t>l/s</t>
  </si>
  <si>
    <t>m^3/s</t>
  </si>
  <si>
    <t>t(delka)</t>
  </si>
  <si>
    <t>x</t>
  </si>
  <si>
    <t>v dané výšce</t>
  </si>
  <si>
    <t>Pomocne</t>
  </si>
  <si>
    <t>S(kumul)</t>
  </si>
  <si>
    <t>Průtočná plocha</t>
  </si>
  <si>
    <t>Počet bodů (1000MAX)</t>
  </si>
  <si>
    <t>v(stred)</t>
  </si>
  <si>
    <t>dS(m2)</t>
  </si>
  <si>
    <t>š_pův_záloha</t>
  </si>
  <si>
    <t>s_z [mm]</t>
  </si>
  <si>
    <t>hladina</t>
  </si>
  <si>
    <t>počet svislic</t>
  </si>
  <si>
    <t>m^2</t>
  </si>
  <si>
    <t>xz1</t>
  </si>
  <si>
    <t>xz2</t>
  </si>
  <si>
    <t>(MAX 100)</t>
  </si>
  <si>
    <t>max</t>
  </si>
  <si>
    <t>V</t>
  </si>
  <si>
    <t>Výška, ve které je výseč = hladina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</si>
</sst>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"/>
  </numFmts>
  <fonts count="9" x14ac:knownFonts="1"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0061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  <xf numFmtId="0" fontId="7" fillId="5" borderId="2" applyNumberFormat="0" applyFont="0" applyAlignment="0" applyProtection="0"/>
  </cellStyleXfs>
  <cellXfs count="18">
    <xf numFmtId="0" fontId="0" fillId="0" borderId="0" xfId="0"/>
    <xf numFmtId="0" fontId="1" fillId="2" borderId="0" xfId="1"/>
    <xf numFmtId="0" fontId="3" fillId="4" borderId="1" xfId="3"/>
    <xf numFmtId="0" fontId="5" fillId="0" borderId="0" xfId="0" applyFont="1"/>
    <xf numFmtId="0" fontId="6" fillId="2" borderId="0" xfId="1" applyFont="1"/>
    <xf numFmtId="0" fontId="3" fillId="4" borderId="1" xfId="3" applyFont="1"/>
    <xf numFmtId="3" fontId="3" fillId="4" borderId="1" xfId="3" applyNumberFormat="1" applyFont="1"/>
    <xf numFmtId="3" fontId="3" fillId="4" borderId="1" xfId="3" applyNumberFormat="1"/>
    <xf numFmtId="0" fontId="2" fillId="3" borderId="1" xfId="2"/>
    <xf numFmtId="3" fontId="0" fillId="0" borderId="0" xfId="0" applyNumberFormat="1"/>
    <xf numFmtId="3" fontId="2" fillId="3" borderId="1" xfId="2" applyNumberFormat="1"/>
    <xf numFmtId="4" fontId="3" fillId="4" borderId="1" xfId="3" applyNumberFormat="1"/>
    <xf numFmtId="0" fontId="0" fillId="0" borderId="0" xfId="0" applyAlignment="1">
      <alignment horizontal="right"/>
    </xf>
    <xf numFmtId="0" fontId="0" fillId="5" borderId="2" xfId="4" applyFont="1"/>
    <xf numFmtId="3" fontId="4" fillId="5" borderId="2" xfId="4" applyNumberFormat="1" applyFont="1"/>
    <xf numFmtId="164" fontId="3" fillId="4" borderId="1" xfId="3" applyNumberFormat="1"/>
    <xf numFmtId="0" fontId="3" fillId="4" borderId="3" xfId="3" applyFont="1" applyBorder="1" applyAlignment="1">
      <alignment horizontal="center"/>
    </xf>
    <xf numFmtId="0" fontId="3" fillId="4" borderId="0" xfId="3" applyFont="1" applyBorder="1" applyAlignment="1">
      <alignment horizontal="center"/>
    </xf>
  </cellXfs>
  <cellStyles count="5">
    <cellStyle name="Normální" xfId="0" builtinId="0"/>
    <cellStyle name="Poznámka" xfId="4" builtinId="10"/>
    <cellStyle name="Správně" xfId="1" builtinId="26"/>
    <cellStyle name="Vstup" xfId="2" builtinId="20"/>
    <cellStyle name="Výpočet" xfId="3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Profil_L</c:v>
          </c:tx>
          <c:marker>
            <c:symbol val="none"/>
          </c:marker>
          <c:xVal>
            <c:numRef>
              <c:f>Kruh!$H$3:$H$1003</c:f>
              <c:numCache>
                <c:formatCode>General</c:formatCode>
                <c:ptCount val="1001"/>
                <c:pt idx="0">
                  <c:v>0</c:v>
                </c:pt>
                <c:pt idx="1">
                  <c:v>-63.21392251711643</c:v>
                </c:pt>
                <c:pt idx="2">
                  <c:v>-89.353231614754705</c:v>
                </c:pt>
                <c:pt idx="3">
                  <c:v>-109.38007131100254</c:v>
                </c:pt>
                <c:pt idx="4">
                  <c:v>-126.23787070447599</c:v>
                </c:pt>
                <c:pt idx="5">
                  <c:v>-141.06735979665885</c:v>
                </c:pt>
                <c:pt idx="6">
                  <c:v>-154.45387661046257</c:v>
                </c:pt>
                <c:pt idx="7">
                  <c:v>-166.74531477675768</c:v>
                </c:pt>
                <c:pt idx="8">
                  <c:v>-178.16845961056069</c:v>
                </c:pt>
                <c:pt idx="9">
                  <c:v>-188.88091486436633</c:v>
                </c:pt>
                <c:pt idx="10">
                  <c:v>-198.997487421324</c:v>
                </c:pt>
                <c:pt idx="11">
                  <c:v>-208.60488968382307</c:v>
                </c:pt>
                <c:pt idx="12">
                  <c:v>-217.77052142105919</c:v>
                </c:pt>
                <c:pt idx="13">
                  <c:v>-226.54800815721157</c:v>
                </c:pt>
                <c:pt idx="14">
                  <c:v>-234.98085028359225</c:v>
                </c:pt>
                <c:pt idx="15">
                  <c:v>-243.10491562286435</c:v>
                </c:pt>
                <c:pt idx="16">
                  <c:v>-250.95019426172996</c:v>
                </c:pt>
                <c:pt idx="17">
                  <c:v>-258.54206620973696</c:v>
                </c:pt>
                <c:pt idx="18">
                  <c:v>-265.90223767392405</c:v>
                </c:pt>
                <c:pt idx="19">
                  <c:v>-273.04944607158609</c:v>
                </c:pt>
                <c:pt idx="20">
                  <c:v>-280</c:v>
                </c:pt>
                <c:pt idx="21">
                  <c:v>-286.76819907374664</c:v>
                </c:pt>
                <c:pt idx="22">
                  <c:v>-293.36666477294244</c:v>
                </c:pt>
                <c:pt idx="23">
                  <c:v>-299.80660433019148</c:v>
                </c:pt>
                <c:pt idx="24">
                  <c:v>-306.09802351534387</c:v>
                </c:pt>
                <c:pt idx="25">
                  <c:v>-312.24989991991993</c:v>
                </c:pt>
                <c:pt idx="26">
                  <c:v>-318.2703253525217</c:v>
                </c:pt>
                <c:pt idx="27">
                  <c:v>-324.16662382176236</c:v>
                </c:pt>
                <c:pt idx="28">
                  <c:v>-329.94545003682049</c:v>
                </c:pt>
                <c:pt idx="29">
                  <c:v>-335.61287222036049</c:v>
                </c:pt>
                <c:pt idx="30">
                  <c:v>-341.17444218463959</c:v>
                </c:pt>
                <c:pt idx="31">
                  <c:v>-346.63525498714063</c:v>
                </c:pt>
                <c:pt idx="32">
                  <c:v>-352</c:v>
                </c:pt>
                <c:pt idx="33">
                  <c:v>-357.27300485762987</c:v>
                </c:pt>
                <c:pt idx="34">
                  <c:v>-362.45827346054608</c:v>
                </c:pt>
                <c:pt idx="35">
                  <c:v>-367.55951898978213</c:v>
                </c:pt>
                <c:pt idx="36">
                  <c:v>-372.58019271024057</c:v>
                </c:pt>
                <c:pt idx="37">
                  <c:v>-377.52350920174496</c:v>
                </c:pt>
                <c:pt idx="38">
                  <c:v>-382.39246854508002</c:v>
                </c:pt>
                <c:pt idx="39">
                  <c:v>-387.18987590070071</c:v>
                </c:pt>
                <c:pt idx="40">
                  <c:v>-391.91835884530849</c:v>
                </c:pt>
                <c:pt idx="41">
                  <c:v>-396.58038277252194</c:v>
                </c:pt>
                <c:pt idx="42">
                  <c:v>-401.17826461561947</c:v>
                </c:pt>
                <c:pt idx="43">
                  <c:v>-405.7141851106515</c:v>
                </c:pt>
                <c:pt idx="44">
                  <c:v>-410.19019978541661</c:v>
                </c:pt>
                <c:pt idx="45">
                  <c:v>-414.60824883255759</c:v>
                </c:pt>
                <c:pt idx="46">
                  <c:v>-418.9701660023062</c:v>
                </c:pt>
                <c:pt idx="47">
                  <c:v>-423.27768663136499</c:v>
                </c:pt>
                <c:pt idx="48">
                  <c:v>-427.5324549083964</c:v>
                </c:pt>
                <c:pt idx="49">
                  <c:v>-431.73603046305971</c:v>
                </c:pt>
                <c:pt idx="50">
                  <c:v>-435.88989435406734</c:v>
                </c:pt>
                <c:pt idx="51">
                  <c:v>-439.99545452197572</c:v>
                </c:pt>
                <c:pt idx="52">
                  <c:v>-444.05405076409335</c:v>
                </c:pt>
                <c:pt idx="53">
                  <c:v>-448.06695928175736</c:v>
                </c:pt>
                <c:pt idx="54">
                  <c:v>-452.03539684409674</c:v>
                </c:pt>
                <c:pt idx="55">
                  <c:v>-455.96052460711991</c:v>
                </c:pt>
                <c:pt idx="56">
                  <c:v>-459.84345162239725</c:v>
                </c:pt>
                <c:pt idx="57">
                  <c:v>-463.68523806565162</c:v>
                </c:pt>
                <c:pt idx="58">
                  <c:v>-467.48689821213173</c:v>
                </c:pt>
                <c:pt idx="59">
                  <c:v>-471.24940318264595</c:v>
                </c:pt>
                <c:pt idx="60">
                  <c:v>-474.97368348151667</c:v>
                </c:pt>
                <c:pt idx="61">
                  <c:v>-478.66063134542412</c:v>
                </c:pt>
                <c:pt idx="62">
                  <c:v>-482.31110292009657</c:v>
                </c:pt>
                <c:pt idx="63">
                  <c:v>-485.92592028003611</c:v>
                </c:pt>
                <c:pt idx="64">
                  <c:v>-489.50587330490737</c:v>
                </c:pt>
                <c:pt idx="65">
                  <c:v>-493.05172142484201</c:v>
                </c:pt>
                <c:pt idx="66">
                  <c:v>-496.56419524569026</c:v>
                </c:pt>
                <c:pt idx="67">
                  <c:v>-500.04399806417035</c:v>
                </c:pt>
                <c:pt idx="68">
                  <c:v>-503.49180728190601</c:v>
                </c:pt>
                <c:pt idx="69">
                  <c:v>-506.90827572648681</c:v>
                </c:pt>
                <c:pt idx="70">
                  <c:v>-510.29403288692293</c:v>
                </c:pt>
                <c:pt idx="71">
                  <c:v>-513.64968607018534</c:v>
                </c:pt>
                <c:pt idx="72">
                  <c:v>-516.97582148491233</c:v>
                </c:pt>
                <c:pt idx="73">
                  <c:v>-520.27300525781652</c:v>
                </c:pt>
                <c:pt idx="74">
                  <c:v>-523.54178438783663</c:v>
                </c:pt>
                <c:pt idx="75">
                  <c:v>-526.78268764263692</c:v>
                </c:pt>
                <c:pt idx="76">
                  <c:v>-529.99622640166035</c:v>
                </c:pt>
                <c:pt idx="77">
                  <c:v>-533.18289544958213</c:v>
                </c:pt>
                <c:pt idx="78">
                  <c:v>-536.34317372368969</c:v>
                </c:pt>
                <c:pt idx="79">
                  <c:v>-539.47752501842001</c:v>
                </c:pt>
                <c:pt idx="80">
                  <c:v>-542.58639865002147</c:v>
                </c:pt>
                <c:pt idx="81">
                  <c:v>-545.67023008406829</c:v>
                </c:pt>
                <c:pt idx="82">
                  <c:v>-548.72944152833645</c:v>
                </c:pt>
                <c:pt idx="83">
                  <c:v>-551.76444249335236</c:v>
                </c:pt>
                <c:pt idx="84">
                  <c:v>-554.77563032274588</c:v>
                </c:pt>
                <c:pt idx="85">
                  <c:v>-557.76339069537357</c:v>
                </c:pt>
                <c:pt idx="86">
                  <c:v>-560.72809810103149</c:v>
                </c:pt>
                <c:pt idx="87">
                  <c:v>-563.67011629143508</c:v>
                </c:pt>
                <c:pt idx="88">
                  <c:v>-566.58979870802477</c:v>
                </c:pt>
                <c:pt idx="89">
                  <c:v>-569.48748888803516</c:v>
                </c:pt>
                <c:pt idx="90">
                  <c:v>-572.36352085016733</c:v>
                </c:pt>
                <c:pt idx="91">
                  <c:v>-575.21821946110151</c:v>
                </c:pt>
                <c:pt idx="92">
                  <c:v>-578.05190078400403</c:v>
                </c:pt>
                <c:pt idx="93">
                  <c:v>-580.86487241009854</c:v>
                </c:pt>
                <c:pt idx="94">
                  <c:v>-583.65743377429885</c:v>
                </c:pt>
                <c:pt idx="95">
                  <c:v>-586.42987645582991</c:v>
                </c:pt>
                <c:pt idx="96">
                  <c:v>-589.18248446470295</c:v>
                </c:pt>
                <c:pt idx="97">
                  <c:v>-591.91553451484947</c:v>
                </c:pt>
                <c:pt idx="98">
                  <c:v>-594.62929628466838</c:v>
                </c:pt>
                <c:pt idx="99">
                  <c:v>-597.32403266568804</c:v>
                </c:pt>
                <c:pt idx="100">
                  <c:v>-600</c:v>
                </c:pt>
                <c:pt idx="101">
                  <c:v>-602.65744830707933</c:v>
                </c:pt>
                <c:pt idx="102">
                  <c:v>-605.2966215005664</c:v>
                </c:pt>
                <c:pt idx="103">
                  <c:v>-607.91775759554844</c:v>
                </c:pt>
                <c:pt idx="104">
                  <c:v>-610.52108890684519</c:v>
                </c:pt>
                <c:pt idx="105">
                  <c:v>-613.10684223877331</c:v>
                </c:pt>
                <c:pt idx="106">
                  <c:v>-615.67523906683141</c:v>
                </c:pt>
                <c:pt idx="107">
                  <c:v>-618.22649571172542</c:v>
                </c:pt>
                <c:pt idx="108">
                  <c:v>-620.76082350612296</c:v>
                </c:pt>
                <c:pt idx="109">
                  <c:v>-623.27842895450829</c:v>
                </c:pt>
                <c:pt idx="110">
                  <c:v>-625.77951388648057</c:v>
                </c:pt>
                <c:pt idx="111">
                  <c:v>-628.26427560382581</c:v>
                </c:pt>
                <c:pt idx="112">
                  <c:v>-630.7329070216648</c:v>
                </c:pt>
                <c:pt idx="113">
                  <c:v>-633.18559680397027</c:v>
                </c:pt>
                <c:pt idx="114">
                  <c:v>-635.62252949372396</c:v>
                </c:pt>
                <c:pt idx="115">
                  <c:v>-638.04388563797079</c:v>
                </c:pt>
                <c:pt idx="116">
                  <c:v>-640.44984190801392</c:v>
                </c:pt>
                <c:pt idx="117">
                  <c:v>-642.84057121497858</c:v>
                </c:pt>
                <c:pt idx="118">
                  <c:v>-645.21624282096309</c:v>
                </c:pt>
                <c:pt idx="119">
                  <c:v>-647.57702244597897</c:v>
                </c:pt>
                <c:pt idx="120">
                  <c:v>-649.92307237087687</c:v>
                </c:pt>
                <c:pt idx="121">
                  <c:v>-652.25455153643816</c:v>
                </c:pt>
                <c:pt idx="122">
                  <c:v>-654.57161563880845</c:v>
                </c:pt>
                <c:pt idx="123">
                  <c:v>-656.87441722143512</c:v>
                </c:pt>
                <c:pt idx="124">
                  <c:v>-659.16310576366459</c:v>
                </c:pt>
                <c:pt idx="125">
                  <c:v>-661.43782776614762</c:v>
                </c:pt>
                <c:pt idx="126">
                  <c:v>-663.69872683319204</c:v>
                </c:pt>
                <c:pt idx="127">
                  <c:v>-665.94594375219378</c:v>
                </c:pt>
                <c:pt idx="128">
                  <c:v>-668.17961657027524</c:v>
                </c:pt>
                <c:pt idx="129">
                  <c:v>-670.39988066824719</c:v>
                </c:pt>
                <c:pt idx="130">
                  <c:v>-672.60686883200947</c:v>
                </c:pt>
                <c:pt idx="131">
                  <c:v>-674.80071132149828</c:v>
                </c:pt>
                <c:pt idx="132">
                  <c:v>-676.98153593728091</c:v>
                </c:pt>
                <c:pt idx="133">
                  <c:v>-679.1494680848981</c:v>
                </c:pt>
                <c:pt idx="134">
                  <c:v>-681.30463083704342</c:v>
                </c:pt>
                <c:pt idx="135">
                  <c:v>-683.44714499367103</c:v>
                </c:pt>
                <c:pt idx="136">
                  <c:v>-685.57712914011358</c:v>
                </c:pt>
                <c:pt idx="137">
                  <c:v>-687.69469970329135</c:v>
                </c:pt>
                <c:pt idx="138">
                  <c:v>-689.79997100608807</c:v>
                </c:pt>
                <c:pt idx="139">
                  <c:v>-691.89305531996774</c:v>
                </c:pt>
                <c:pt idx="140">
                  <c:v>-693.97406291589891</c:v>
                </c:pt>
                <c:pt idx="141">
                  <c:v>-696.04310211365498</c:v>
                </c:pt>
                <c:pt idx="142">
                  <c:v>-698.10027932955302</c:v>
                </c:pt>
                <c:pt idx="143">
                  <c:v>-700.14569912268973</c:v>
                </c:pt>
                <c:pt idx="144">
                  <c:v>-702.1794642397341</c:v>
                </c:pt>
                <c:pt idx="145">
                  <c:v>-704.20167565833015</c:v>
                </c:pt>
                <c:pt idx="146">
                  <c:v>-706.21243262916289</c:v>
                </c:pt>
                <c:pt idx="147">
                  <c:v>-708.21183271673738</c:v>
                </c:pt>
                <c:pt idx="148">
                  <c:v>-710.19997183891803</c:v>
                </c:pt>
                <c:pt idx="149">
                  <c:v>-712.17694430527581</c:v>
                </c:pt>
                <c:pt idx="150">
                  <c:v>-714.14284285428505</c:v>
                </c:pt>
                <c:pt idx="151">
                  <c:v>-716.09775868941244</c:v>
                </c:pt>
                <c:pt idx="152">
                  <c:v>-718.04178151413998</c:v>
                </c:pt>
                <c:pt idx="153">
                  <c:v>-719.97499956595721</c:v>
                </c:pt>
                <c:pt idx="154">
                  <c:v>-721.89749964936163</c:v>
                </c:pt>
                <c:pt idx="155">
                  <c:v>-723.80936716790291</c:v>
                </c:pt>
                <c:pt idx="156">
                  <c:v>-725.71068615530248</c:v>
                </c:pt>
                <c:pt idx="157">
                  <c:v>-727.60153930568345</c:v>
                </c:pt>
                <c:pt idx="158">
                  <c:v>-729.48200800293898</c:v>
                </c:pt>
                <c:pt idx="159">
                  <c:v>-731.35217234927256</c:v>
                </c:pt>
                <c:pt idx="160">
                  <c:v>-733.21211119293434</c:v>
                </c:pt>
                <c:pt idx="161">
                  <c:v>-735.06190215518586</c:v>
                </c:pt>
                <c:pt idx="162">
                  <c:v>-736.90162165651395</c:v>
                </c:pt>
                <c:pt idx="163">
                  <c:v>-738.73134494212445</c:v>
                </c:pt>
                <c:pt idx="164">
                  <c:v>-740.55114610673581</c:v>
                </c:pt>
                <c:pt idx="165">
                  <c:v>-742.36109811869858</c:v>
                </c:pt>
                <c:pt idx="166">
                  <c:v>-744.16127284346101</c:v>
                </c:pt>
                <c:pt idx="167">
                  <c:v>-745.95174106640434</c:v>
                </c:pt>
                <c:pt idx="168">
                  <c:v>-747.73257251506709</c:v>
                </c:pt>
                <c:pt idx="169">
                  <c:v>-749.50383588077784</c:v>
                </c:pt>
                <c:pt idx="170">
                  <c:v>-751.26559883971788</c:v>
                </c:pt>
                <c:pt idx="171">
                  <c:v>-753.01792807342906</c:v>
                </c:pt>
                <c:pt idx="172">
                  <c:v>-754.76088928878664</c:v>
                </c:pt>
                <c:pt idx="173">
                  <c:v>-756.49454723745362</c:v>
                </c:pt>
                <c:pt idx="174">
                  <c:v>-758.21896573483309</c:v>
                </c:pt>
                <c:pt idx="175">
                  <c:v>-759.9342076785332</c:v>
                </c:pt>
                <c:pt idx="176">
                  <c:v>-761.6403350663619</c:v>
                </c:pt>
                <c:pt idx="177">
                  <c:v>-763.33740901386454</c:v>
                </c:pt>
                <c:pt idx="178">
                  <c:v>-765.0254897714193</c:v>
                </c:pt>
                <c:pt idx="179">
                  <c:v>-766.70463674090297</c:v>
                </c:pt>
                <c:pt idx="180">
                  <c:v>-768.37490849194182</c:v>
                </c:pt>
                <c:pt idx="181">
                  <c:v>-770.03636277775865</c:v>
                </c:pt>
                <c:pt idx="182">
                  <c:v>-771.68905655062906</c:v>
                </c:pt>
                <c:pt idx="183">
                  <c:v>-773.33304597695815</c:v>
                </c:pt>
                <c:pt idx="184">
                  <c:v>-774.96838645198943</c:v>
                </c:pt>
                <c:pt idx="185">
                  <c:v>-776.59513261415691</c:v>
                </c:pt>
                <c:pt idx="186">
                  <c:v>-778.21333835909036</c:v>
                </c:pt>
                <c:pt idx="187">
                  <c:v>-779.8230568532839</c:v>
                </c:pt>
                <c:pt idx="188">
                  <c:v>-781.4243405474391</c:v>
                </c:pt>
                <c:pt idx="189">
                  <c:v>-783.01724118949005</c:v>
                </c:pt>
                <c:pt idx="190">
                  <c:v>-784.60180983732118</c:v>
                </c:pt>
                <c:pt idx="191">
                  <c:v>-786.17809687118609</c:v>
                </c:pt>
                <c:pt idx="192">
                  <c:v>-787.74615200583492</c:v>
                </c:pt>
                <c:pt idx="193">
                  <c:v>-789.30602430236149</c:v>
                </c:pt>
                <c:pt idx="194">
                  <c:v>-790.857762179774</c:v>
                </c:pt>
                <c:pt idx="195">
                  <c:v>-792.40141342630125</c:v>
                </c:pt>
                <c:pt idx="196">
                  <c:v>-793.93702521043826</c:v>
                </c:pt>
                <c:pt idx="197">
                  <c:v>-795.46464409174087</c:v>
                </c:pt>
                <c:pt idx="198">
                  <c:v>-796.9843160313759</c:v>
                </c:pt>
                <c:pt idx="199">
                  <c:v>-798.49608640243196</c:v>
                </c:pt>
                <c:pt idx="200">
                  <c:v>-800</c:v>
                </c:pt>
                <c:pt idx="201">
                  <c:v>-801.49610105102818</c:v>
                </c:pt>
                <c:pt idx="202">
                  <c:v>-802.98443322395735</c:v>
                </c:pt>
                <c:pt idx="203">
                  <c:v>-804.46503963814359</c:v>
                </c:pt>
                <c:pt idx="204">
                  <c:v>-805.93796287307373</c:v>
                </c:pt>
                <c:pt idx="205">
                  <c:v>-807.40324497737811</c:v>
                </c:pt>
                <c:pt idx="206">
                  <c:v>-808.86092747764746</c:v>
                </c:pt>
                <c:pt idx="207">
                  <c:v>-810.31105138705846</c:v>
                </c:pt>
                <c:pt idx="208">
                  <c:v>-811.75365721381263</c:v>
                </c:pt>
                <c:pt idx="209">
                  <c:v>-813.18878496939442</c:v>
                </c:pt>
                <c:pt idx="210">
                  <c:v>-814.61647417665199</c:v>
                </c:pt>
                <c:pt idx="211">
                  <c:v>-816.03676387770668</c:v>
                </c:pt>
                <c:pt idx="212">
                  <c:v>-817.44969264169401</c:v>
                </c:pt>
                <c:pt idx="213">
                  <c:v>-818.85529857234235</c:v>
                </c:pt>
                <c:pt idx="214">
                  <c:v>-820.25361931539203</c:v>
                </c:pt>
                <c:pt idx="215">
                  <c:v>-821.64469206585886</c:v>
                </c:pt>
                <c:pt idx="216">
                  <c:v>-823.02855357514784</c:v>
                </c:pt>
                <c:pt idx="217">
                  <c:v>-824.40524015801839</c:v>
                </c:pt>
                <c:pt idx="218">
                  <c:v>-825.7747876994066</c:v>
                </c:pt>
                <c:pt idx="219">
                  <c:v>-827.13723166110708</c:v>
                </c:pt>
                <c:pt idx="220">
                  <c:v>-828.49260708831912</c:v>
                </c:pt>
                <c:pt idx="221">
                  <c:v>-829.84094861605854</c:v>
                </c:pt>
                <c:pt idx="222">
                  <c:v>-831.18229047544082</c:v>
                </c:pt>
                <c:pt idx="223">
                  <c:v>-832.51666649983656</c:v>
                </c:pt>
                <c:pt idx="224">
                  <c:v>-833.84411013090448</c:v>
                </c:pt>
                <c:pt idx="225">
                  <c:v>-835.16465442450328</c:v>
                </c:pt>
                <c:pt idx="226">
                  <c:v>-836.47833205648544</c:v>
                </c:pt>
                <c:pt idx="227">
                  <c:v>-837.78517532837736</c:v>
                </c:pt>
                <c:pt idx="228">
                  <c:v>-839.08521617294628</c:v>
                </c:pt>
                <c:pt idx="229">
                  <c:v>-840.37848615965891</c:v>
                </c:pt>
                <c:pt idx="230">
                  <c:v>-841.66501650003249</c:v>
                </c:pt>
                <c:pt idx="231">
                  <c:v>-842.94483805288235</c:v>
                </c:pt>
                <c:pt idx="232">
                  <c:v>-844.21798132946685</c:v>
                </c:pt>
                <c:pt idx="233">
                  <c:v>-845.48447649853392</c:v>
                </c:pt>
                <c:pt idx="234">
                  <c:v>-846.74435339127001</c:v>
                </c:pt>
                <c:pt idx="235">
                  <c:v>-847.9976415061542</c:v>
                </c:pt>
                <c:pt idx="236">
                  <c:v>-849.24437001371996</c:v>
                </c:pt>
                <c:pt idx="237">
                  <c:v>-850.48456776122634</c:v>
                </c:pt>
                <c:pt idx="238">
                  <c:v>-851.71826327724125</c:v>
                </c:pt>
                <c:pt idx="239">
                  <c:v>-852.94548477613739</c:v>
                </c:pt>
                <c:pt idx="240">
                  <c:v>-854.16626016250484</c:v>
                </c:pt>
                <c:pt idx="241">
                  <c:v>-855.3806170354809</c:v>
                </c:pt>
                <c:pt idx="242">
                  <c:v>-856.58858269299856</c:v>
                </c:pt>
                <c:pt idx="243">
                  <c:v>-857.79018413595759</c:v>
                </c:pt>
                <c:pt idx="244">
                  <c:v>-858.98544807231747</c:v>
                </c:pt>
                <c:pt idx="245">
                  <c:v>-860.17440092111553</c:v>
                </c:pt>
                <c:pt idx="246">
                  <c:v>-861.35706881641136</c:v>
                </c:pt>
                <c:pt idx="247">
                  <c:v>-862.53347761115913</c:v>
                </c:pt>
                <c:pt idx="248">
                  <c:v>-863.70365288100993</c:v>
                </c:pt>
                <c:pt idx="249">
                  <c:v>-864.86761992804429</c:v>
                </c:pt>
                <c:pt idx="250">
                  <c:v>-866.02540378443859</c:v>
                </c:pt>
                <c:pt idx="251">
                  <c:v>-867.17702921606497</c:v>
                </c:pt>
                <c:pt idx="252">
                  <c:v>-868.32252072602614</c:v>
                </c:pt>
                <c:pt idx="253">
                  <c:v>-869.46190255812814</c:v>
                </c:pt>
                <c:pt idx="254">
                  <c:v>-870.59519870029146</c:v>
                </c:pt>
                <c:pt idx="255">
                  <c:v>-871.72243288790037</c:v>
                </c:pt>
                <c:pt idx="256">
                  <c:v>-872.84362860709473</c:v>
                </c:pt>
                <c:pt idx="257">
                  <c:v>-873.95880909800314</c:v>
                </c:pt>
                <c:pt idx="258">
                  <c:v>-875.06799735791958</c:v>
                </c:pt>
                <c:pt idx="259">
                  <c:v>-876.17121614442465</c:v>
                </c:pt>
                <c:pt idx="260">
                  <c:v>-877.2684879784523</c:v>
                </c:pt>
                <c:pt idx="261">
                  <c:v>-878.35983514730458</c:v>
                </c:pt>
                <c:pt idx="262">
                  <c:v>-879.44527970761203</c:v>
                </c:pt>
                <c:pt idx="263">
                  <c:v>-880.52484348824589</c:v>
                </c:pt>
                <c:pt idx="264">
                  <c:v>-881.59854809317824</c:v>
                </c:pt>
                <c:pt idx="265">
                  <c:v>-882.66641490429436</c:v>
                </c:pt>
                <c:pt idx="266">
                  <c:v>-883.72846508415694</c:v>
                </c:pt>
                <c:pt idx="267">
                  <c:v>-884.7847195787233</c:v>
                </c:pt>
                <c:pt idx="268">
                  <c:v>-885.83519912001691</c:v>
                </c:pt>
                <c:pt idx="269">
                  <c:v>-886.87992422875379</c:v>
                </c:pt>
                <c:pt idx="270">
                  <c:v>-887.91891521692457</c:v>
                </c:pt>
                <c:pt idx="271">
                  <c:v>-888.95219219033368</c:v>
                </c:pt>
                <c:pt idx="272">
                  <c:v>-889.97977505109634</c:v>
                </c:pt>
                <c:pt idx="273">
                  <c:v>-891.00168350009301</c:v>
                </c:pt>
                <c:pt idx="274">
                  <c:v>-892.01793703938483</c:v>
                </c:pt>
                <c:pt idx="275">
                  <c:v>-893.02855497458756</c:v>
                </c:pt>
                <c:pt idx="276">
                  <c:v>-894.03355641720736</c:v>
                </c:pt>
                <c:pt idx="277">
                  <c:v>-895.03296028693831</c:v>
                </c:pt>
                <c:pt idx="278">
                  <c:v>-896.02678531392132</c:v>
                </c:pt>
                <c:pt idx="279">
                  <c:v>-897.01505004096782</c:v>
                </c:pt>
                <c:pt idx="280">
                  <c:v>-897.99777282574598</c:v>
                </c:pt>
                <c:pt idx="281">
                  <c:v>-898.97497184293184</c:v>
                </c:pt>
                <c:pt idx="282">
                  <c:v>-899.94666508632611</c:v>
                </c:pt>
                <c:pt idx="283">
                  <c:v>-900.91287037093662</c:v>
                </c:pt>
                <c:pt idx="284">
                  <c:v>-901.87360533502692</c:v>
                </c:pt>
                <c:pt idx="285">
                  <c:v>-902.82888744213324</c:v>
                </c:pt>
                <c:pt idx="286">
                  <c:v>-903.77873398304746</c:v>
                </c:pt>
                <c:pt idx="287">
                  <c:v>-904.72316207777067</c:v>
                </c:pt>
                <c:pt idx="288">
                  <c:v>-905.66218867743396</c:v>
                </c:pt>
                <c:pt idx="289">
                  <c:v>-906.5958305661901</c:v>
                </c:pt>
                <c:pt idx="290">
                  <c:v>-907.52410436307423</c:v>
                </c:pt>
                <c:pt idx="291">
                  <c:v>-908.44702652383648</c:v>
                </c:pt>
                <c:pt idx="292">
                  <c:v>-909.36461334274497</c:v>
                </c:pt>
                <c:pt idx="293">
                  <c:v>-910.2768809543611</c:v>
                </c:pt>
                <c:pt idx="294">
                  <c:v>-911.18384533528683</c:v>
                </c:pt>
                <c:pt idx="295">
                  <c:v>-912.08552230588555</c:v>
                </c:pt>
                <c:pt idx="296">
                  <c:v>-912.98192753197475</c:v>
                </c:pt>
                <c:pt idx="297">
                  <c:v>-913.87307652649451</c:v>
                </c:pt>
                <c:pt idx="298">
                  <c:v>-914.75898465114847</c:v>
                </c:pt>
                <c:pt idx="299">
                  <c:v>-915.63966711802084</c:v>
                </c:pt>
                <c:pt idx="300">
                  <c:v>-916.51513899116799</c:v>
                </c:pt>
                <c:pt idx="301">
                  <c:v>-917.38541518818579</c:v>
                </c:pt>
                <c:pt idx="302">
                  <c:v>-918.25051048175305</c:v>
                </c:pt>
                <c:pt idx="303">
                  <c:v>-919.11043950115152</c:v>
                </c:pt>
                <c:pt idx="304">
                  <c:v>-919.96521673376321</c:v>
                </c:pt>
                <c:pt idx="305">
                  <c:v>-920.81485652654408</c:v>
                </c:pt>
                <c:pt idx="306">
                  <c:v>-921.65937308747641</c:v>
                </c:pt>
                <c:pt idx="307">
                  <c:v>-922.49878048699884</c:v>
                </c:pt>
                <c:pt idx="308">
                  <c:v>-923.33309265941512</c:v>
                </c:pt>
                <c:pt idx="309">
                  <c:v>-924.16232340428166</c:v>
                </c:pt>
                <c:pt idx="310">
                  <c:v>-924.98648638777422</c:v>
                </c:pt>
                <c:pt idx="311">
                  <c:v>-925.80559514403456</c:v>
                </c:pt>
                <c:pt idx="312">
                  <c:v>-926.61966307649652</c:v>
                </c:pt>
                <c:pt idx="313">
                  <c:v>-927.42870345919312</c:v>
                </c:pt>
                <c:pt idx="314">
                  <c:v>-928.23272943804341</c:v>
                </c:pt>
                <c:pt idx="315">
                  <c:v>-929.03175403212128</c:v>
                </c:pt>
                <c:pt idx="316">
                  <c:v>-929.82579013490476</c:v>
                </c:pt>
                <c:pt idx="317">
                  <c:v>-930.61485051550733</c:v>
                </c:pt>
                <c:pt idx="318">
                  <c:v>-931.39894781989096</c:v>
                </c:pt>
                <c:pt idx="319">
                  <c:v>-932.17809457206192</c:v>
                </c:pt>
                <c:pt idx="320">
                  <c:v>-932.95230317524806</c:v>
                </c:pt>
                <c:pt idx="321">
                  <c:v>-933.72158591306004</c:v>
                </c:pt>
                <c:pt idx="322">
                  <c:v>-934.48595495063489</c:v>
                </c:pt>
                <c:pt idx="323">
                  <c:v>-935.24542233576312</c:v>
                </c:pt>
                <c:pt idx="324">
                  <c:v>-936</c:v>
                </c:pt>
                <c:pt idx="325">
                  <c:v>-936.74969975975978</c:v>
                </c:pt>
                <c:pt idx="326">
                  <c:v>-937.49453331739483</c:v>
                </c:pt>
                <c:pt idx="327">
                  <c:v>-938.2345122622595</c:v>
                </c:pt>
                <c:pt idx="328">
                  <c:v>-938.96964807175743</c:v>
                </c:pt>
                <c:pt idx="329">
                  <c:v>-939.69995211237506</c:v>
                </c:pt>
                <c:pt idx="330">
                  <c:v>-940.42543564069979</c:v>
                </c:pt>
                <c:pt idx="331">
                  <c:v>-941.14610980442353</c:v>
                </c:pt>
                <c:pt idx="332">
                  <c:v>-941.86198564333188</c:v>
                </c:pt>
                <c:pt idx="333">
                  <c:v>-942.57307409027976</c:v>
                </c:pt>
                <c:pt idx="334">
                  <c:v>-943.279385972152</c:v>
                </c:pt>
                <c:pt idx="335">
                  <c:v>-943.98093201081133</c:v>
                </c:pt>
                <c:pt idx="336">
                  <c:v>-944.67772282403268</c:v>
                </c:pt>
                <c:pt idx="337">
                  <c:v>-945.36976892642383</c:v>
                </c:pt>
                <c:pt idx="338">
                  <c:v>-946.05708073033315</c:v>
                </c:pt>
                <c:pt idx="339">
                  <c:v>-946.73966854674472</c:v>
                </c:pt>
                <c:pt idx="340">
                  <c:v>-947.41754258616095</c:v>
                </c:pt>
                <c:pt idx="341">
                  <c:v>-948.09071295947206</c:v>
                </c:pt>
                <c:pt idx="342">
                  <c:v>-948.7591896788141</c:v>
                </c:pt>
                <c:pt idx="343">
                  <c:v>-949.42298265841453</c:v>
                </c:pt>
                <c:pt idx="344">
                  <c:v>-950.08210171542544</c:v>
                </c:pt>
                <c:pt idx="345">
                  <c:v>-950.73655657074642</c:v>
                </c:pt>
                <c:pt idx="346">
                  <c:v>-951.38635684983421</c:v>
                </c:pt>
                <c:pt idx="347">
                  <c:v>-952.03151208350243</c:v>
                </c:pt>
                <c:pt idx="348">
                  <c:v>-952.67203170870926</c:v>
                </c:pt>
                <c:pt idx="349">
                  <c:v>-953.3079250693346</c:v>
                </c:pt>
                <c:pt idx="350">
                  <c:v>-953.93920141694559</c:v>
                </c:pt>
                <c:pt idx="351">
                  <c:v>-954.56586991155302</c:v>
                </c:pt>
                <c:pt idx="352">
                  <c:v>-955.1879396223552</c:v>
                </c:pt>
                <c:pt idx="353">
                  <c:v>-955.80541952847284</c:v>
                </c:pt>
                <c:pt idx="354">
                  <c:v>-956.41831851967368</c:v>
                </c:pt>
                <c:pt idx="355">
                  <c:v>-957.0266453970861</c:v>
                </c:pt>
                <c:pt idx="356">
                  <c:v>-957.63040887390366</c:v>
                </c:pt>
                <c:pt idx="357">
                  <c:v>-958.2296175760797</c:v>
                </c:pt>
                <c:pt idx="358">
                  <c:v>-958.82428004301187</c:v>
                </c:pt>
                <c:pt idx="359">
                  <c:v>-959.41440472821751</c:v>
                </c:pt>
                <c:pt idx="360">
                  <c:v>-960</c:v>
                </c:pt>
                <c:pt idx="361">
                  <c:v>-960.58107414210485</c:v>
                </c:pt>
                <c:pt idx="362">
                  <c:v>-961.15763535436793</c:v>
                </c:pt>
                <c:pt idx="363">
                  <c:v>-961.72969175335334</c:v>
                </c:pt>
                <c:pt idx="364">
                  <c:v>-962.29725137298408</c:v>
                </c:pt>
                <c:pt idx="365">
                  <c:v>-962.86032216516219</c:v>
                </c:pt>
                <c:pt idx="366">
                  <c:v>-963.41891200038208</c:v>
                </c:pt>
                <c:pt idx="367">
                  <c:v>-963.97302866833365</c:v>
                </c:pt>
                <c:pt idx="368">
                  <c:v>-964.52267987849825</c:v>
                </c:pt>
                <c:pt idx="369">
                  <c:v>-965.06787326073595</c:v>
                </c:pt>
                <c:pt idx="370">
                  <c:v>-965.60861636586492</c:v>
                </c:pt>
                <c:pt idx="371">
                  <c:v>-966.14491666623178</c:v>
                </c:pt>
                <c:pt idx="372">
                  <c:v>-966.67678155627596</c:v>
                </c:pt>
                <c:pt idx="373">
                  <c:v>-967.20421835308389</c:v>
                </c:pt>
                <c:pt idx="374">
                  <c:v>-967.72723429693758</c:v>
                </c:pt>
                <c:pt idx="375">
                  <c:v>-968.24583655185427</c:v>
                </c:pt>
                <c:pt idx="376">
                  <c:v>-968.76003220611858</c:v>
                </c:pt>
                <c:pt idx="377">
                  <c:v>-969.2698282728087</c:v>
                </c:pt>
                <c:pt idx="378">
                  <c:v>-969.77523169031292</c:v>
                </c:pt>
                <c:pt idx="379">
                  <c:v>-970.27624932284107</c:v>
                </c:pt>
                <c:pt idx="380">
                  <c:v>-970.77288796092773</c:v>
                </c:pt>
                <c:pt idx="381">
                  <c:v>-971.26515432192866</c:v>
                </c:pt>
                <c:pt idx="382">
                  <c:v>-971.75305505051028</c:v>
                </c:pt>
                <c:pt idx="383">
                  <c:v>-972.23659671913197</c:v>
                </c:pt>
                <c:pt idx="384">
                  <c:v>-972.71578582852248</c:v>
                </c:pt>
                <c:pt idx="385">
                  <c:v>-973.19062880814874</c:v>
                </c:pt>
                <c:pt idx="386">
                  <c:v>-973.66113201667861</c:v>
                </c:pt>
                <c:pt idx="387">
                  <c:v>-974.12730174243654</c:v>
                </c:pt>
                <c:pt idx="388">
                  <c:v>-974.58914420385372</c:v>
                </c:pt>
                <c:pt idx="389">
                  <c:v>-975.04666554991104</c:v>
                </c:pt>
                <c:pt idx="390">
                  <c:v>-975.49987186057592</c:v>
                </c:pt>
                <c:pt idx="391">
                  <c:v>-975.94876914723352</c:v>
                </c:pt>
                <c:pt idx="392">
                  <c:v>-976.39336335311089</c:v>
                </c:pt>
                <c:pt idx="393">
                  <c:v>-976.83366035369602</c:v>
                </c:pt>
                <c:pt idx="394">
                  <c:v>-977.26966595715021</c:v>
                </c:pt>
                <c:pt idx="395">
                  <c:v>-977.70138590471481</c:v>
                </c:pt>
                <c:pt idx="396">
                  <c:v>-978.12882587111199</c:v>
                </c:pt>
                <c:pt idx="397">
                  <c:v>-978.55199146493999</c:v>
                </c:pt>
                <c:pt idx="398">
                  <c:v>-978.97088822906267</c:v>
                </c:pt>
                <c:pt idx="399">
                  <c:v>-979.38552164099303</c:v>
                </c:pt>
                <c:pt idx="400">
                  <c:v>-979.79589711327128</c:v>
                </c:pt>
                <c:pt idx="401">
                  <c:v>-980.20201999383778</c:v>
                </c:pt>
                <c:pt idx="402">
                  <c:v>-980.60389556640041</c:v>
                </c:pt>
                <c:pt idx="403">
                  <c:v>-981.00152905079608</c:v>
                </c:pt>
                <c:pt idx="404">
                  <c:v>-981.39492560334747</c:v>
                </c:pt>
                <c:pt idx="405">
                  <c:v>-981.78409031721435</c:v>
                </c:pt>
                <c:pt idx="406">
                  <c:v>-982.16902822273926</c:v>
                </c:pt>
                <c:pt idx="407">
                  <c:v>-982.54974428778928</c:v>
                </c:pt>
                <c:pt idx="408">
                  <c:v>-982.92624341809085</c:v>
                </c:pt>
                <c:pt idx="409">
                  <c:v>-983.29853045756147</c:v>
                </c:pt>
                <c:pt idx="410">
                  <c:v>-983.66661018863499</c:v>
                </c:pt>
                <c:pt idx="411">
                  <c:v>-984.03048733258265</c:v>
                </c:pt>
                <c:pt idx="412">
                  <c:v>-984.3901665498289</c:v>
                </c:pt>
                <c:pt idx="413">
                  <c:v>-984.74565244026337</c:v>
                </c:pt>
                <c:pt idx="414">
                  <c:v>-985.0969495435462</c:v>
                </c:pt>
                <c:pt idx="415">
                  <c:v>-985.44406233941049</c:v>
                </c:pt>
                <c:pt idx="416">
                  <c:v>-985.78699524795923</c:v>
                </c:pt>
                <c:pt idx="417">
                  <c:v>-986.12575262995745</c:v>
                </c:pt>
                <c:pt idx="418">
                  <c:v>-986.46033878712024</c:v>
                </c:pt>
                <c:pt idx="419">
                  <c:v>-986.79075796239601</c:v>
                </c:pt>
                <c:pt idx="420">
                  <c:v>-987.1170143402453</c:v>
                </c:pt>
                <c:pt idx="421">
                  <c:v>-987.43911204691506</c:v>
                </c:pt>
                <c:pt idx="422">
                  <c:v>-987.75705515070865</c:v>
                </c:pt>
                <c:pt idx="423">
                  <c:v>-988.07084766225137</c:v>
                </c:pt>
                <c:pt idx="424">
                  <c:v>-988.38049353475208</c:v>
                </c:pt>
                <c:pt idx="425">
                  <c:v>-988.68599666425939</c:v>
                </c:pt>
                <c:pt idx="426">
                  <c:v>-988.98736088991552</c:v>
                </c:pt>
                <c:pt idx="427">
                  <c:v>-989.28458999420388</c:v>
                </c:pt>
                <c:pt idx="428">
                  <c:v>-989.57768770319387</c:v>
                </c:pt>
                <c:pt idx="429">
                  <c:v>-989.86665768678154</c:v>
                </c:pt>
                <c:pt idx="430">
                  <c:v>-990.15150355892501</c:v>
                </c:pt>
                <c:pt idx="431">
                  <c:v>-990.43222887787738</c:v>
                </c:pt>
                <c:pt idx="432">
                  <c:v>-990.70883714641411</c:v>
                </c:pt>
                <c:pt idx="433">
                  <c:v>-990.98133181205787</c:v>
                </c:pt>
                <c:pt idx="434">
                  <c:v>-991.2497162672986</c:v>
                </c:pt>
                <c:pt idx="435">
                  <c:v>-991.51399384980948</c:v>
                </c:pt>
                <c:pt idx="436">
                  <c:v>-991.77416784265961</c:v>
                </c:pt>
                <c:pt idx="437">
                  <c:v>-992.03024147452277</c:v>
                </c:pt>
                <c:pt idx="438">
                  <c:v>-992.28221791988187</c:v>
                </c:pt>
                <c:pt idx="439">
                  <c:v>-992.53010029923018</c:v>
                </c:pt>
                <c:pt idx="440">
                  <c:v>-992.77389167926856</c:v>
                </c:pt>
                <c:pt idx="441">
                  <c:v>-993.01359507309871</c:v>
                </c:pt>
                <c:pt idx="442">
                  <c:v>-993.24921344041343</c:v>
                </c:pt>
                <c:pt idx="443">
                  <c:v>-993.48074968768265</c:v>
                </c:pt>
                <c:pt idx="444">
                  <c:v>-993.70820666833583</c:v>
                </c:pt>
                <c:pt idx="445">
                  <c:v>-993.93158718294092</c:v>
                </c:pt>
                <c:pt idx="446">
                  <c:v>-994.15089397937982</c:v>
                </c:pt>
                <c:pt idx="447">
                  <c:v>-994.36612975302012</c:v>
                </c:pt>
                <c:pt idx="448">
                  <c:v>-994.57729714688344</c:v>
                </c:pt>
                <c:pt idx="449">
                  <c:v>-994.78439875180993</c:v>
                </c:pt>
                <c:pt idx="450">
                  <c:v>-994.98743710661995</c:v>
                </c:pt>
                <c:pt idx="451">
                  <c:v>-995.18641469827151</c:v>
                </c:pt>
                <c:pt idx="452">
                  <c:v>-995.38133396201476</c:v>
                </c:pt>
                <c:pt idx="453">
                  <c:v>-995.57219728154325</c:v>
                </c:pt>
                <c:pt idx="454">
                  <c:v>-995.75900698914097</c:v>
                </c:pt>
                <c:pt idx="455">
                  <c:v>-995.941765365827</c:v>
                </c:pt>
                <c:pt idx="456">
                  <c:v>-996.12047464149634</c:v>
                </c:pt>
                <c:pt idx="457">
                  <c:v>-996.29513699505731</c:v>
                </c:pt>
                <c:pt idx="458">
                  <c:v>-996.46575455456571</c:v>
                </c:pt>
                <c:pt idx="459">
                  <c:v>-996.63232939735599</c:v>
                </c:pt>
                <c:pt idx="460">
                  <c:v>-996.794863550169</c:v>
                </c:pt>
                <c:pt idx="461">
                  <c:v>-996.9533589892759</c:v>
                </c:pt>
                <c:pt idx="462">
                  <c:v>-997.10781764059993</c:v>
                </c:pt>
                <c:pt idx="463">
                  <c:v>-997.25824137983443</c:v>
                </c:pt>
                <c:pt idx="464">
                  <c:v>-997.40463203255683</c:v>
                </c:pt>
                <c:pt idx="465">
                  <c:v>-997.54699137434125</c:v>
                </c:pt>
                <c:pt idx="466">
                  <c:v>-997.68532113086644</c:v>
                </c:pt>
                <c:pt idx="467">
                  <c:v>-997.81962297802102</c:v>
                </c:pt>
                <c:pt idx="468">
                  <c:v>-997.94989854200594</c:v>
                </c:pt>
                <c:pt idx="469">
                  <c:v>-998.07614939943335</c:v>
                </c:pt>
                <c:pt idx="470">
                  <c:v>-998.19837707742238</c:v>
                </c:pt>
                <c:pt idx="471">
                  <c:v>-998.3165830536924</c:v>
                </c:pt>
                <c:pt idx="472">
                  <c:v>-998.43076875665247</c:v>
                </c:pt>
                <c:pt idx="473">
                  <c:v>-998.54093556548798</c:v>
                </c:pt>
                <c:pt idx="474">
                  <c:v>-998.64708481024468</c:v>
                </c:pt>
                <c:pt idx="475">
                  <c:v>-998.749217771909</c:v>
                </c:pt>
                <c:pt idx="476">
                  <c:v>-998.84733568248555</c:v>
                </c:pt>
                <c:pt idx="477">
                  <c:v>-998.9414397250722</c:v>
                </c:pt>
                <c:pt idx="478">
                  <c:v>-999.03153103393083</c:v>
                </c:pt>
                <c:pt idx="479">
                  <c:v>-999.11761069455679</c:v>
                </c:pt>
                <c:pt idx="480">
                  <c:v>-999.19967974374367</c:v>
                </c:pt>
                <c:pt idx="481">
                  <c:v>-999.27773916964645</c:v>
                </c:pt>
                <c:pt idx="482">
                  <c:v>-999.3517899118408</c:v>
                </c:pt>
                <c:pt idx="483">
                  <c:v>-999.42183286137993</c:v>
                </c:pt>
                <c:pt idx="484">
                  <c:v>-999.48786886084815</c:v>
                </c:pt>
                <c:pt idx="485">
                  <c:v>-999.54989870441182</c:v>
                </c:pt>
                <c:pt idx="486">
                  <c:v>-999.60792313786715</c:v>
                </c:pt>
                <c:pt idx="487">
                  <c:v>-999.6619428586846</c:v>
                </c:pt>
                <c:pt idx="488">
                  <c:v>-999.71195851605171</c:v>
                </c:pt>
                <c:pt idx="489">
                  <c:v>-999.75797071091165</c:v>
                </c:pt>
                <c:pt idx="490">
                  <c:v>-999.79997999599902</c:v>
                </c:pt>
                <c:pt idx="491">
                  <c:v>-999.83798687587375</c:v>
                </c:pt>
                <c:pt idx="492">
                  <c:v>-999.8719918069512</c:v>
                </c:pt>
                <c:pt idx="493">
                  <c:v>-999.90199519752935</c:v>
                </c:pt>
                <c:pt idx="494">
                  <c:v>-999.92799740781334</c:v>
                </c:pt>
                <c:pt idx="495">
                  <c:v>-999.94999874993755</c:v>
                </c:pt>
                <c:pt idx="496">
                  <c:v>-999.96799948798366</c:v>
                </c:pt>
                <c:pt idx="497">
                  <c:v>-999.98199983799714</c:v>
                </c:pt>
                <c:pt idx="498">
                  <c:v>-999.99199996799973</c:v>
                </c:pt>
                <c:pt idx="499">
                  <c:v>-999.99799999799995</c:v>
                </c:pt>
                <c:pt idx="500">
                  <c:v>-1000</c:v>
                </c:pt>
                <c:pt idx="501">
                  <c:v>-999.99799999799995</c:v>
                </c:pt>
                <c:pt idx="502">
                  <c:v>-999.99199996799973</c:v>
                </c:pt>
                <c:pt idx="503">
                  <c:v>-999.98199983799714</c:v>
                </c:pt>
                <c:pt idx="504">
                  <c:v>-999.96799948798366</c:v>
                </c:pt>
                <c:pt idx="505">
                  <c:v>-999.94999874993755</c:v>
                </c:pt>
                <c:pt idx="506">
                  <c:v>-999.92799740781334</c:v>
                </c:pt>
                <c:pt idx="507">
                  <c:v>-999.90199519752935</c:v>
                </c:pt>
                <c:pt idx="508">
                  <c:v>-999.8719918069512</c:v>
                </c:pt>
                <c:pt idx="509">
                  <c:v>-999.83798687587375</c:v>
                </c:pt>
                <c:pt idx="510">
                  <c:v>-999.79997999599902</c:v>
                </c:pt>
                <c:pt idx="511">
                  <c:v>-999.75797071091165</c:v>
                </c:pt>
                <c:pt idx="512">
                  <c:v>-999.71195851605171</c:v>
                </c:pt>
                <c:pt idx="513">
                  <c:v>-999.6619428586846</c:v>
                </c:pt>
                <c:pt idx="514">
                  <c:v>-999.60792313786715</c:v>
                </c:pt>
                <c:pt idx="515">
                  <c:v>-999.54989870441182</c:v>
                </c:pt>
                <c:pt idx="516">
                  <c:v>-999.48786886084815</c:v>
                </c:pt>
                <c:pt idx="517">
                  <c:v>-999.42183286137993</c:v>
                </c:pt>
                <c:pt idx="518">
                  <c:v>-999.3517899118408</c:v>
                </c:pt>
                <c:pt idx="519">
                  <c:v>-999.27773916964645</c:v>
                </c:pt>
                <c:pt idx="520">
                  <c:v>-999.19967974374367</c:v>
                </c:pt>
                <c:pt idx="521">
                  <c:v>-999.11761069455679</c:v>
                </c:pt>
                <c:pt idx="522">
                  <c:v>-999.03153103393083</c:v>
                </c:pt>
                <c:pt idx="523">
                  <c:v>-998.9414397250722</c:v>
                </c:pt>
                <c:pt idx="524">
                  <c:v>-998.84733568248555</c:v>
                </c:pt>
                <c:pt idx="525">
                  <c:v>-998.749217771909</c:v>
                </c:pt>
                <c:pt idx="526">
                  <c:v>-998.64708481024468</c:v>
                </c:pt>
                <c:pt idx="527">
                  <c:v>-998.54093556548798</c:v>
                </c:pt>
                <c:pt idx="528">
                  <c:v>-998.43076875665247</c:v>
                </c:pt>
                <c:pt idx="529">
                  <c:v>-998.3165830536924</c:v>
                </c:pt>
                <c:pt idx="530">
                  <c:v>-998.19837707742238</c:v>
                </c:pt>
                <c:pt idx="531">
                  <c:v>-998.07614939943335</c:v>
                </c:pt>
                <c:pt idx="532">
                  <c:v>-997.94989854200594</c:v>
                </c:pt>
                <c:pt idx="533">
                  <c:v>-997.81962297802102</c:v>
                </c:pt>
                <c:pt idx="534">
                  <c:v>-997.68532113086644</c:v>
                </c:pt>
                <c:pt idx="535">
                  <c:v>-997.54699137434125</c:v>
                </c:pt>
                <c:pt idx="536">
                  <c:v>-997.40463203255683</c:v>
                </c:pt>
                <c:pt idx="537">
                  <c:v>-997.25824137983443</c:v>
                </c:pt>
                <c:pt idx="538">
                  <c:v>-997.10781764059993</c:v>
                </c:pt>
                <c:pt idx="539">
                  <c:v>-996.9533589892759</c:v>
                </c:pt>
                <c:pt idx="540">
                  <c:v>-996.794863550169</c:v>
                </c:pt>
                <c:pt idx="541">
                  <c:v>-996.63232939735599</c:v>
                </c:pt>
                <c:pt idx="542">
                  <c:v>-996.46575455456571</c:v>
                </c:pt>
                <c:pt idx="543">
                  <c:v>-996.29513699505731</c:v>
                </c:pt>
                <c:pt idx="544">
                  <c:v>-996.12047464149634</c:v>
                </c:pt>
                <c:pt idx="545">
                  <c:v>-995.941765365827</c:v>
                </c:pt>
                <c:pt idx="546">
                  <c:v>-995.75900698914097</c:v>
                </c:pt>
                <c:pt idx="547">
                  <c:v>-995.57219728154325</c:v>
                </c:pt>
                <c:pt idx="548">
                  <c:v>-995.38133396201476</c:v>
                </c:pt>
                <c:pt idx="549">
                  <c:v>-995.18641469827151</c:v>
                </c:pt>
                <c:pt idx="550">
                  <c:v>-994.98743710661995</c:v>
                </c:pt>
                <c:pt idx="551">
                  <c:v>-994.78439875180993</c:v>
                </c:pt>
                <c:pt idx="552">
                  <c:v>-994.57729714688344</c:v>
                </c:pt>
                <c:pt idx="553">
                  <c:v>-994.36612975302012</c:v>
                </c:pt>
                <c:pt idx="554">
                  <c:v>-994.15089397937982</c:v>
                </c:pt>
                <c:pt idx="555">
                  <c:v>-993.93158718294092</c:v>
                </c:pt>
                <c:pt idx="556">
                  <c:v>-993.70820666833583</c:v>
                </c:pt>
                <c:pt idx="557">
                  <c:v>-993.48074968768265</c:v>
                </c:pt>
                <c:pt idx="558">
                  <c:v>-993.24921344041343</c:v>
                </c:pt>
                <c:pt idx="559">
                  <c:v>-993.01359507309871</c:v>
                </c:pt>
                <c:pt idx="560">
                  <c:v>-992.77389167926856</c:v>
                </c:pt>
                <c:pt idx="561">
                  <c:v>-992.53010029923018</c:v>
                </c:pt>
                <c:pt idx="562">
                  <c:v>-992.28221791988187</c:v>
                </c:pt>
                <c:pt idx="563">
                  <c:v>-992.03024147452277</c:v>
                </c:pt>
                <c:pt idx="564">
                  <c:v>-991.77416784265961</c:v>
                </c:pt>
                <c:pt idx="565">
                  <c:v>-991.51399384980948</c:v>
                </c:pt>
                <c:pt idx="566">
                  <c:v>-991.2497162672986</c:v>
                </c:pt>
                <c:pt idx="567">
                  <c:v>-990.98133181205787</c:v>
                </c:pt>
                <c:pt idx="568">
                  <c:v>-990.70883714641411</c:v>
                </c:pt>
                <c:pt idx="569">
                  <c:v>-990.43222887787738</c:v>
                </c:pt>
                <c:pt idx="570">
                  <c:v>-990.15150355892501</c:v>
                </c:pt>
                <c:pt idx="571">
                  <c:v>-989.86665768678154</c:v>
                </c:pt>
                <c:pt idx="572">
                  <c:v>-989.57768770319387</c:v>
                </c:pt>
                <c:pt idx="573">
                  <c:v>-989.28458999420388</c:v>
                </c:pt>
                <c:pt idx="574">
                  <c:v>-988.98736088991552</c:v>
                </c:pt>
                <c:pt idx="575">
                  <c:v>-988.68599666425939</c:v>
                </c:pt>
                <c:pt idx="576">
                  <c:v>-988.38049353475208</c:v>
                </c:pt>
                <c:pt idx="577">
                  <c:v>-988.07084766225137</c:v>
                </c:pt>
                <c:pt idx="578">
                  <c:v>-987.75705515070865</c:v>
                </c:pt>
                <c:pt idx="579">
                  <c:v>-987.43911204691506</c:v>
                </c:pt>
                <c:pt idx="580">
                  <c:v>-987.1170143402453</c:v>
                </c:pt>
                <c:pt idx="581">
                  <c:v>-986.79075796239601</c:v>
                </c:pt>
                <c:pt idx="582">
                  <c:v>-986.46033878712024</c:v>
                </c:pt>
                <c:pt idx="583">
                  <c:v>-986.12575262995745</c:v>
                </c:pt>
                <c:pt idx="584">
                  <c:v>-985.78699524795923</c:v>
                </c:pt>
                <c:pt idx="585">
                  <c:v>-985.44406233941049</c:v>
                </c:pt>
                <c:pt idx="586">
                  <c:v>-985.0969495435462</c:v>
                </c:pt>
                <c:pt idx="587">
                  <c:v>-984.74565244026337</c:v>
                </c:pt>
                <c:pt idx="588">
                  <c:v>-984.3901665498289</c:v>
                </c:pt>
                <c:pt idx="589">
                  <c:v>-984.03048733258265</c:v>
                </c:pt>
                <c:pt idx="590">
                  <c:v>-983.66661018863499</c:v>
                </c:pt>
                <c:pt idx="591">
                  <c:v>-983.29853045756147</c:v>
                </c:pt>
                <c:pt idx="592">
                  <c:v>-982.92624341809085</c:v>
                </c:pt>
                <c:pt idx="593">
                  <c:v>-982.54974428778928</c:v>
                </c:pt>
                <c:pt idx="594">
                  <c:v>-982.16902822273926</c:v>
                </c:pt>
                <c:pt idx="595">
                  <c:v>-981.78409031721435</c:v>
                </c:pt>
                <c:pt idx="596">
                  <c:v>-981.39492560334747</c:v>
                </c:pt>
                <c:pt idx="597">
                  <c:v>-981.00152905079608</c:v>
                </c:pt>
                <c:pt idx="598">
                  <c:v>-980.60389556640041</c:v>
                </c:pt>
                <c:pt idx="599">
                  <c:v>-980.20201999383778</c:v>
                </c:pt>
                <c:pt idx="600">
                  <c:v>-979.79589711327128</c:v>
                </c:pt>
                <c:pt idx="601">
                  <c:v>-979.38552164099303</c:v>
                </c:pt>
                <c:pt idx="602">
                  <c:v>-978.97088822906267</c:v>
                </c:pt>
                <c:pt idx="603">
                  <c:v>-978.55199146493999</c:v>
                </c:pt>
                <c:pt idx="604">
                  <c:v>-978.12882587111199</c:v>
                </c:pt>
                <c:pt idx="605">
                  <c:v>-977.70138590471481</c:v>
                </c:pt>
                <c:pt idx="606">
                  <c:v>-977.26966595715021</c:v>
                </c:pt>
                <c:pt idx="607">
                  <c:v>-976.83366035369602</c:v>
                </c:pt>
                <c:pt idx="608">
                  <c:v>-976.39336335311089</c:v>
                </c:pt>
                <c:pt idx="609">
                  <c:v>-975.94876914723352</c:v>
                </c:pt>
                <c:pt idx="610">
                  <c:v>-975.49987186057592</c:v>
                </c:pt>
                <c:pt idx="611">
                  <c:v>-975.04666554991104</c:v>
                </c:pt>
                <c:pt idx="612">
                  <c:v>-974.58914420385372</c:v>
                </c:pt>
                <c:pt idx="613">
                  <c:v>-974.12730174243654</c:v>
                </c:pt>
                <c:pt idx="614">
                  <c:v>-973.66113201667861</c:v>
                </c:pt>
                <c:pt idx="615">
                  <c:v>-973.19062880814874</c:v>
                </c:pt>
                <c:pt idx="616">
                  <c:v>-972.71578582852248</c:v>
                </c:pt>
                <c:pt idx="617">
                  <c:v>-972.23659671913197</c:v>
                </c:pt>
                <c:pt idx="618">
                  <c:v>-971.75305505051028</c:v>
                </c:pt>
                <c:pt idx="619">
                  <c:v>-971.26515432192866</c:v>
                </c:pt>
                <c:pt idx="620">
                  <c:v>-970.77288796092773</c:v>
                </c:pt>
                <c:pt idx="621">
                  <c:v>-970.27624932284107</c:v>
                </c:pt>
                <c:pt idx="622">
                  <c:v>-969.77523169031292</c:v>
                </c:pt>
                <c:pt idx="623">
                  <c:v>-969.2698282728087</c:v>
                </c:pt>
                <c:pt idx="624">
                  <c:v>-968.76003220611858</c:v>
                </c:pt>
                <c:pt idx="625">
                  <c:v>-968.24583655185427</c:v>
                </c:pt>
                <c:pt idx="626">
                  <c:v>-967.72723429693758</c:v>
                </c:pt>
                <c:pt idx="627">
                  <c:v>-967.20421835308389</c:v>
                </c:pt>
                <c:pt idx="628">
                  <c:v>-966.67678155627596</c:v>
                </c:pt>
                <c:pt idx="629">
                  <c:v>-966.14491666623178</c:v>
                </c:pt>
                <c:pt idx="630">
                  <c:v>-965.60861636586492</c:v>
                </c:pt>
                <c:pt idx="631">
                  <c:v>-965.06787326073595</c:v>
                </c:pt>
                <c:pt idx="632">
                  <c:v>-964.52267987849825</c:v>
                </c:pt>
                <c:pt idx="633">
                  <c:v>-963.97302866833365</c:v>
                </c:pt>
                <c:pt idx="634">
                  <c:v>-963.41891200038208</c:v>
                </c:pt>
                <c:pt idx="635">
                  <c:v>-962.86032216516219</c:v>
                </c:pt>
                <c:pt idx="636">
                  <c:v>-962.29725137298408</c:v>
                </c:pt>
                <c:pt idx="637">
                  <c:v>-961.72969175335334</c:v>
                </c:pt>
                <c:pt idx="638">
                  <c:v>-961.15763535436793</c:v>
                </c:pt>
                <c:pt idx="639">
                  <c:v>-960.58107414210485</c:v>
                </c:pt>
                <c:pt idx="640">
                  <c:v>-960</c:v>
                </c:pt>
                <c:pt idx="641">
                  <c:v>-959.41440472821751</c:v>
                </c:pt>
                <c:pt idx="642">
                  <c:v>-958.82428004301187</c:v>
                </c:pt>
                <c:pt idx="643">
                  <c:v>-958.2296175760797</c:v>
                </c:pt>
                <c:pt idx="644">
                  <c:v>-957.63040887390366</c:v>
                </c:pt>
                <c:pt idx="645">
                  <c:v>-957.0266453970861</c:v>
                </c:pt>
                <c:pt idx="646">
                  <c:v>-956.41831851967368</c:v>
                </c:pt>
                <c:pt idx="647">
                  <c:v>-955.80541952847284</c:v>
                </c:pt>
                <c:pt idx="648">
                  <c:v>-955.1879396223552</c:v>
                </c:pt>
                <c:pt idx="649">
                  <c:v>-954.56586991155302</c:v>
                </c:pt>
                <c:pt idx="650">
                  <c:v>-953.93920141694559</c:v>
                </c:pt>
                <c:pt idx="651">
                  <c:v>-953.3079250693346</c:v>
                </c:pt>
                <c:pt idx="652">
                  <c:v>-952.67203170870926</c:v>
                </c:pt>
                <c:pt idx="653">
                  <c:v>-952.03151208350243</c:v>
                </c:pt>
                <c:pt idx="654">
                  <c:v>-951.38635684983421</c:v>
                </c:pt>
                <c:pt idx="655">
                  <c:v>-950.73655657074642</c:v>
                </c:pt>
                <c:pt idx="656">
                  <c:v>-950.08210171542544</c:v>
                </c:pt>
                <c:pt idx="657">
                  <c:v>-949.42298265841453</c:v>
                </c:pt>
                <c:pt idx="658">
                  <c:v>-948.7591896788141</c:v>
                </c:pt>
                <c:pt idx="659">
                  <c:v>-948.09071295947206</c:v>
                </c:pt>
                <c:pt idx="660">
                  <c:v>-947.41754258616095</c:v>
                </c:pt>
                <c:pt idx="661">
                  <c:v>-946.73966854674472</c:v>
                </c:pt>
                <c:pt idx="662">
                  <c:v>-946.05708073033315</c:v>
                </c:pt>
                <c:pt idx="663">
                  <c:v>-945.36976892642383</c:v>
                </c:pt>
                <c:pt idx="664">
                  <c:v>-944.67772282403268</c:v>
                </c:pt>
                <c:pt idx="665">
                  <c:v>-943.98093201081133</c:v>
                </c:pt>
                <c:pt idx="666">
                  <c:v>-943.279385972152</c:v>
                </c:pt>
                <c:pt idx="667">
                  <c:v>-942.57307409027976</c:v>
                </c:pt>
                <c:pt idx="668">
                  <c:v>-941.86198564333188</c:v>
                </c:pt>
                <c:pt idx="669">
                  <c:v>-941.14610980442353</c:v>
                </c:pt>
                <c:pt idx="670">
                  <c:v>-940.42543564069979</c:v>
                </c:pt>
                <c:pt idx="671">
                  <c:v>-939.69995211237506</c:v>
                </c:pt>
                <c:pt idx="672">
                  <c:v>-938.96964807175743</c:v>
                </c:pt>
                <c:pt idx="673">
                  <c:v>-938.2345122622595</c:v>
                </c:pt>
                <c:pt idx="674">
                  <c:v>-937.49453331739483</c:v>
                </c:pt>
                <c:pt idx="675">
                  <c:v>-936.74969975975978</c:v>
                </c:pt>
                <c:pt idx="676">
                  <c:v>-936</c:v>
                </c:pt>
                <c:pt idx="677">
                  <c:v>-935.24542233576312</c:v>
                </c:pt>
                <c:pt idx="678">
                  <c:v>-934.48595495063489</c:v>
                </c:pt>
                <c:pt idx="679">
                  <c:v>-933.72158591306004</c:v>
                </c:pt>
                <c:pt idx="680">
                  <c:v>-932.95230317524806</c:v>
                </c:pt>
                <c:pt idx="681">
                  <c:v>-932.17809457206192</c:v>
                </c:pt>
                <c:pt idx="682">
                  <c:v>-931.39894781989096</c:v>
                </c:pt>
                <c:pt idx="683">
                  <c:v>-930.61485051550733</c:v>
                </c:pt>
                <c:pt idx="684">
                  <c:v>-929.82579013490476</c:v>
                </c:pt>
                <c:pt idx="685">
                  <c:v>-929.03175403212128</c:v>
                </c:pt>
                <c:pt idx="686">
                  <c:v>-928.23272943804341</c:v>
                </c:pt>
                <c:pt idx="687">
                  <c:v>-927.42870345919312</c:v>
                </c:pt>
                <c:pt idx="688">
                  <c:v>-926.61966307649652</c:v>
                </c:pt>
                <c:pt idx="689">
                  <c:v>-925.80559514403456</c:v>
                </c:pt>
                <c:pt idx="690">
                  <c:v>-924.98648638777422</c:v>
                </c:pt>
                <c:pt idx="691">
                  <c:v>-924.16232340428166</c:v>
                </c:pt>
                <c:pt idx="692">
                  <c:v>-923.33309265941512</c:v>
                </c:pt>
                <c:pt idx="693">
                  <c:v>-922.49878048699884</c:v>
                </c:pt>
                <c:pt idx="694">
                  <c:v>-921.65937308747641</c:v>
                </c:pt>
                <c:pt idx="695">
                  <c:v>-920.81485652654408</c:v>
                </c:pt>
                <c:pt idx="696">
                  <c:v>-919.96521673376321</c:v>
                </c:pt>
                <c:pt idx="697">
                  <c:v>-919.11043950115152</c:v>
                </c:pt>
                <c:pt idx="698">
                  <c:v>-918.25051048175305</c:v>
                </c:pt>
                <c:pt idx="699">
                  <c:v>-917.38541518818579</c:v>
                </c:pt>
                <c:pt idx="700">
                  <c:v>-916.51513899116799</c:v>
                </c:pt>
                <c:pt idx="701">
                  <c:v>-915.63966711802084</c:v>
                </c:pt>
                <c:pt idx="702">
                  <c:v>-914.75898465114847</c:v>
                </c:pt>
                <c:pt idx="703">
                  <c:v>-913.87307652649451</c:v>
                </c:pt>
                <c:pt idx="704">
                  <c:v>-912.98192753197475</c:v>
                </c:pt>
                <c:pt idx="705">
                  <c:v>-912.08552230588555</c:v>
                </c:pt>
                <c:pt idx="706">
                  <c:v>-911.18384533528683</c:v>
                </c:pt>
                <c:pt idx="707">
                  <c:v>-910.2768809543611</c:v>
                </c:pt>
                <c:pt idx="708">
                  <c:v>-909.36461334274497</c:v>
                </c:pt>
                <c:pt idx="709">
                  <c:v>-908.44702652383648</c:v>
                </c:pt>
                <c:pt idx="710">
                  <c:v>-907.52410436307423</c:v>
                </c:pt>
                <c:pt idx="711">
                  <c:v>-906.5958305661901</c:v>
                </c:pt>
                <c:pt idx="712">
                  <c:v>-905.66218867743396</c:v>
                </c:pt>
                <c:pt idx="713">
                  <c:v>-904.72316207777067</c:v>
                </c:pt>
                <c:pt idx="714">
                  <c:v>-903.77873398304746</c:v>
                </c:pt>
                <c:pt idx="715">
                  <c:v>-902.82888744213324</c:v>
                </c:pt>
                <c:pt idx="716">
                  <c:v>-901.87360533502692</c:v>
                </c:pt>
                <c:pt idx="717">
                  <c:v>-900.91287037093662</c:v>
                </c:pt>
                <c:pt idx="718">
                  <c:v>-899.94666508632611</c:v>
                </c:pt>
                <c:pt idx="719">
                  <c:v>-898.97497184293184</c:v>
                </c:pt>
                <c:pt idx="720">
                  <c:v>-897.99777282574598</c:v>
                </c:pt>
                <c:pt idx="721">
                  <c:v>-897.01505004096782</c:v>
                </c:pt>
                <c:pt idx="722">
                  <c:v>-896.02678531392132</c:v>
                </c:pt>
                <c:pt idx="723">
                  <c:v>-895.03296028693831</c:v>
                </c:pt>
                <c:pt idx="724">
                  <c:v>-894.03355641720736</c:v>
                </c:pt>
                <c:pt idx="725">
                  <c:v>-893.02855497458756</c:v>
                </c:pt>
                <c:pt idx="726">
                  <c:v>-892.01793703938483</c:v>
                </c:pt>
                <c:pt idx="727">
                  <c:v>-891.00168350009301</c:v>
                </c:pt>
                <c:pt idx="728">
                  <c:v>-889.97977505109634</c:v>
                </c:pt>
                <c:pt idx="729">
                  <c:v>-888.95219219033368</c:v>
                </c:pt>
                <c:pt idx="730">
                  <c:v>-887.91891521692457</c:v>
                </c:pt>
                <c:pt idx="731">
                  <c:v>-886.87992422875379</c:v>
                </c:pt>
                <c:pt idx="732">
                  <c:v>-885.83519912001691</c:v>
                </c:pt>
                <c:pt idx="733">
                  <c:v>-884.7847195787233</c:v>
                </c:pt>
                <c:pt idx="734">
                  <c:v>-883.72846508415694</c:v>
                </c:pt>
                <c:pt idx="735">
                  <c:v>-882.66641490429436</c:v>
                </c:pt>
                <c:pt idx="736">
                  <c:v>-881.59854809317824</c:v>
                </c:pt>
                <c:pt idx="737">
                  <c:v>-880.52484348824589</c:v>
                </c:pt>
                <c:pt idx="738">
                  <c:v>-879.44527970761203</c:v>
                </c:pt>
                <c:pt idx="739">
                  <c:v>-878.35983514730458</c:v>
                </c:pt>
                <c:pt idx="740">
                  <c:v>-877.2684879784523</c:v>
                </c:pt>
                <c:pt idx="741">
                  <c:v>-876.17121614442465</c:v>
                </c:pt>
                <c:pt idx="742">
                  <c:v>-875.06799735791958</c:v>
                </c:pt>
                <c:pt idx="743">
                  <c:v>-873.95880909800314</c:v>
                </c:pt>
                <c:pt idx="744">
                  <c:v>-872.84362860709473</c:v>
                </c:pt>
                <c:pt idx="745">
                  <c:v>-871.72243288790037</c:v>
                </c:pt>
                <c:pt idx="746">
                  <c:v>-870.59519870029146</c:v>
                </c:pt>
                <c:pt idx="747">
                  <c:v>-869.46190255812814</c:v>
                </c:pt>
                <c:pt idx="748">
                  <c:v>-868.32252072602614</c:v>
                </c:pt>
                <c:pt idx="749">
                  <c:v>-867.17702921606497</c:v>
                </c:pt>
                <c:pt idx="750">
                  <c:v>-866.02540378443859</c:v>
                </c:pt>
                <c:pt idx="751">
                  <c:v>-864.86761992804429</c:v>
                </c:pt>
                <c:pt idx="752">
                  <c:v>-863.70365288100993</c:v>
                </c:pt>
                <c:pt idx="753">
                  <c:v>-862.53347761115913</c:v>
                </c:pt>
                <c:pt idx="754">
                  <c:v>-861.35706881641136</c:v>
                </c:pt>
                <c:pt idx="755">
                  <c:v>-860.17440092111553</c:v>
                </c:pt>
                <c:pt idx="756">
                  <c:v>-858.98544807231747</c:v>
                </c:pt>
                <c:pt idx="757">
                  <c:v>-857.79018413595759</c:v>
                </c:pt>
                <c:pt idx="758">
                  <c:v>-856.58858269299856</c:v>
                </c:pt>
                <c:pt idx="759">
                  <c:v>-855.3806170354809</c:v>
                </c:pt>
                <c:pt idx="760">
                  <c:v>-854.16626016250484</c:v>
                </c:pt>
                <c:pt idx="761">
                  <c:v>-852.94548477613739</c:v>
                </c:pt>
                <c:pt idx="762">
                  <c:v>-851.71826327724125</c:v>
                </c:pt>
                <c:pt idx="763">
                  <c:v>-850.48456776122634</c:v>
                </c:pt>
                <c:pt idx="764">
                  <c:v>-849.24437001371996</c:v>
                </c:pt>
                <c:pt idx="765">
                  <c:v>-847.9976415061542</c:v>
                </c:pt>
                <c:pt idx="766">
                  <c:v>-846.74435339127001</c:v>
                </c:pt>
                <c:pt idx="767">
                  <c:v>-845.48447649853392</c:v>
                </c:pt>
                <c:pt idx="768">
                  <c:v>-844.21798132946685</c:v>
                </c:pt>
                <c:pt idx="769">
                  <c:v>-842.94483805288235</c:v>
                </c:pt>
                <c:pt idx="770">
                  <c:v>-841.66501650003249</c:v>
                </c:pt>
                <c:pt idx="771">
                  <c:v>-840.37848615965891</c:v>
                </c:pt>
                <c:pt idx="772">
                  <c:v>-839.08521617294628</c:v>
                </c:pt>
                <c:pt idx="773">
                  <c:v>-837.78517532837736</c:v>
                </c:pt>
                <c:pt idx="774">
                  <c:v>-836.47833205648544</c:v>
                </c:pt>
                <c:pt idx="775">
                  <c:v>-835.16465442450328</c:v>
                </c:pt>
                <c:pt idx="776">
                  <c:v>-833.84411013090448</c:v>
                </c:pt>
                <c:pt idx="777">
                  <c:v>-832.51666649983656</c:v>
                </c:pt>
                <c:pt idx="778">
                  <c:v>-831.18229047544082</c:v>
                </c:pt>
                <c:pt idx="779">
                  <c:v>-829.84094861605854</c:v>
                </c:pt>
                <c:pt idx="780">
                  <c:v>-828.49260708831912</c:v>
                </c:pt>
                <c:pt idx="781">
                  <c:v>-827.13723166110708</c:v>
                </c:pt>
                <c:pt idx="782">
                  <c:v>-825.7747876994066</c:v>
                </c:pt>
                <c:pt idx="783">
                  <c:v>-824.40524015801839</c:v>
                </c:pt>
                <c:pt idx="784">
                  <c:v>-823.02855357514784</c:v>
                </c:pt>
                <c:pt idx="785">
                  <c:v>-821.64469206585886</c:v>
                </c:pt>
                <c:pt idx="786">
                  <c:v>-820.25361931539203</c:v>
                </c:pt>
                <c:pt idx="787">
                  <c:v>-818.85529857234235</c:v>
                </c:pt>
                <c:pt idx="788">
                  <c:v>-817.44969264169401</c:v>
                </c:pt>
                <c:pt idx="789">
                  <c:v>-816.03676387770668</c:v>
                </c:pt>
                <c:pt idx="790">
                  <c:v>-814.61647417665199</c:v>
                </c:pt>
                <c:pt idx="791">
                  <c:v>-813.18878496939442</c:v>
                </c:pt>
                <c:pt idx="792">
                  <c:v>-811.75365721381263</c:v>
                </c:pt>
                <c:pt idx="793">
                  <c:v>-810.31105138705846</c:v>
                </c:pt>
                <c:pt idx="794">
                  <c:v>-808.86092747764746</c:v>
                </c:pt>
                <c:pt idx="795">
                  <c:v>-807.40324497737811</c:v>
                </c:pt>
                <c:pt idx="796">
                  <c:v>-805.93796287307373</c:v>
                </c:pt>
                <c:pt idx="797">
                  <c:v>-804.46503963814359</c:v>
                </c:pt>
                <c:pt idx="798">
                  <c:v>-802.98443322395735</c:v>
                </c:pt>
                <c:pt idx="799">
                  <c:v>-801.49610105102818</c:v>
                </c:pt>
                <c:pt idx="800">
                  <c:v>-800</c:v>
                </c:pt>
                <c:pt idx="801">
                  <c:v>-798.49608640243196</c:v>
                </c:pt>
                <c:pt idx="802">
                  <c:v>-796.9843160313759</c:v>
                </c:pt>
                <c:pt idx="803">
                  <c:v>-795.46464409174087</c:v>
                </c:pt>
                <c:pt idx="804">
                  <c:v>-793.93702521043826</c:v>
                </c:pt>
                <c:pt idx="805">
                  <c:v>-792.40141342630125</c:v>
                </c:pt>
                <c:pt idx="806">
                  <c:v>-790.857762179774</c:v>
                </c:pt>
                <c:pt idx="807">
                  <c:v>-789.30602430236149</c:v>
                </c:pt>
                <c:pt idx="808">
                  <c:v>-787.74615200583492</c:v>
                </c:pt>
                <c:pt idx="809">
                  <c:v>-786.17809687118609</c:v>
                </c:pt>
                <c:pt idx="810">
                  <c:v>-784.60180983732118</c:v>
                </c:pt>
                <c:pt idx="811">
                  <c:v>-783.01724118949005</c:v>
                </c:pt>
                <c:pt idx="812">
                  <c:v>-781.4243405474391</c:v>
                </c:pt>
                <c:pt idx="813">
                  <c:v>-779.8230568532839</c:v>
                </c:pt>
                <c:pt idx="814">
                  <c:v>-778.21333835909036</c:v>
                </c:pt>
                <c:pt idx="815">
                  <c:v>-776.59513261415691</c:v>
                </c:pt>
                <c:pt idx="816">
                  <c:v>-774.96838645198943</c:v>
                </c:pt>
                <c:pt idx="817">
                  <c:v>-773.33304597695815</c:v>
                </c:pt>
                <c:pt idx="818">
                  <c:v>-771.68905655062906</c:v>
                </c:pt>
                <c:pt idx="819">
                  <c:v>-770.03636277775865</c:v>
                </c:pt>
                <c:pt idx="820">
                  <c:v>-768.37490849194182</c:v>
                </c:pt>
                <c:pt idx="821">
                  <c:v>-766.70463674090297</c:v>
                </c:pt>
                <c:pt idx="822">
                  <c:v>-765.0254897714193</c:v>
                </c:pt>
                <c:pt idx="823">
                  <c:v>-763.33740901386454</c:v>
                </c:pt>
                <c:pt idx="824">
                  <c:v>-761.6403350663619</c:v>
                </c:pt>
                <c:pt idx="825">
                  <c:v>-759.9342076785332</c:v>
                </c:pt>
                <c:pt idx="826">
                  <c:v>-758.21896573483309</c:v>
                </c:pt>
                <c:pt idx="827">
                  <c:v>-756.49454723745362</c:v>
                </c:pt>
                <c:pt idx="828">
                  <c:v>-754.76088928878664</c:v>
                </c:pt>
                <c:pt idx="829">
                  <c:v>-753.01792807342906</c:v>
                </c:pt>
                <c:pt idx="830">
                  <c:v>-751.26559883971788</c:v>
                </c:pt>
                <c:pt idx="831">
                  <c:v>-749.50383588077784</c:v>
                </c:pt>
                <c:pt idx="832">
                  <c:v>-747.73257251506709</c:v>
                </c:pt>
                <c:pt idx="833">
                  <c:v>-745.95174106640434</c:v>
                </c:pt>
                <c:pt idx="834">
                  <c:v>-744.16127284346101</c:v>
                </c:pt>
                <c:pt idx="835">
                  <c:v>-742.36109811869858</c:v>
                </c:pt>
                <c:pt idx="836">
                  <c:v>-740.55114610673581</c:v>
                </c:pt>
                <c:pt idx="837">
                  <c:v>-738.73134494212445</c:v>
                </c:pt>
                <c:pt idx="838">
                  <c:v>-736.90162165651395</c:v>
                </c:pt>
                <c:pt idx="839">
                  <c:v>-735.06190215518586</c:v>
                </c:pt>
                <c:pt idx="840">
                  <c:v>-733.21211119293434</c:v>
                </c:pt>
                <c:pt idx="841">
                  <c:v>-731.35217234927256</c:v>
                </c:pt>
                <c:pt idx="842">
                  <c:v>-729.48200800293898</c:v>
                </c:pt>
                <c:pt idx="843">
                  <c:v>-727.60153930568345</c:v>
                </c:pt>
                <c:pt idx="844">
                  <c:v>-725.71068615530248</c:v>
                </c:pt>
                <c:pt idx="845">
                  <c:v>-723.80936716790291</c:v>
                </c:pt>
                <c:pt idx="846">
                  <c:v>-721.89749964936163</c:v>
                </c:pt>
                <c:pt idx="847">
                  <c:v>-719.97499956595721</c:v>
                </c:pt>
                <c:pt idx="848">
                  <c:v>-718.04178151413998</c:v>
                </c:pt>
                <c:pt idx="849">
                  <c:v>-716.09775868941244</c:v>
                </c:pt>
                <c:pt idx="850">
                  <c:v>-714.14284285428505</c:v>
                </c:pt>
                <c:pt idx="851">
                  <c:v>-712.17694430527581</c:v>
                </c:pt>
                <c:pt idx="852">
                  <c:v>-710.19997183891803</c:v>
                </c:pt>
                <c:pt idx="853">
                  <c:v>-708.21183271673738</c:v>
                </c:pt>
                <c:pt idx="854">
                  <c:v>-706.21243262916289</c:v>
                </c:pt>
                <c:pt idx="855">
                  <c:v>-704.20167565833015</c:v>
                </c:pt>
                <c:pt idx="856">
                  <c:v>-702.1794642397341</c:v>
                </c:pt>
                <c:pt idx="857">
                  <c:v>-700.14569912268973</c:v>
                </c:pt>
                <c:pt idx="858">
                  <c:v>-698.10027932955302</c:v>
                </c:pt>
                <c:pt idx="859">
                  <c:v>-696.04310211365498</c:v>
                </c:pt>
                <c:pt idx="860">
                  <c:v>-693.97406291589891</c:v>
                </c:pt>
                <c:pt idx="861">
                  <c:v>-691.89305531996774</c:v>
                </c:pt>
                <c:pt idx="862">
                  <c:v>-689.79997100608807</c:v>
                </c:pt>
                <c:pt idx="863">
                  <c:v>-687.69469970329135</c:v>
                </c:pt>
                <c:pt idx="864">
                  <c:v>-685.57712914011358</c:v>
                </c:pt>
                <c:pt idx="865">
                  <c:v>-683.44714499367103</c:v>
                </c:pt>
                <c:pt idx="866">
                  <c:v>-681.30463083704342</c:v>
                </c:pt>
                <c:pt idx="867">
                  <c:v>-679.1494680848981</c:v>
                </c:pt>
                <c:pt idx="868">
                  <c:v>-676.98153593728091</c:v>
                </c:pt>
                <c:pt idx="869">
                  <c:v>-674.80071132149828</c:v>
                </c:pt>
                <c:pt idx="870">
                  <c:v>-672.60686883200947</c:v>
                </c:pt>
                <c:pt idx="871">
                  <c:v>-670.39988066824719</c:v>
                </c:pt>
                <c:pt idx="872">
                  <c:v>-668.17961657027524</c:v>
                </c:pt>
                <c:pt idx="873">
                  <c:v>-665.94594375219378</c:v>
                </c:pt>
                <c:pt idx="874">
                  <c:v>-663.69872683319204</c:v>
                </c:pt>
                <c:pt idx="875">
                  <c:v>-661.43782776614762</c:v>
                </c:pt>
                <c:pt idx="876">
                  <c:v>-659.16310576366459</c:v>
                </c:pt>
                <c:pt idx="877">
                  <c:v>-656.87441722143512</c:v>
                </c:pt>
                <c:pt idx="878">
                  <c:v>-654.57161563880845</c:v>
                </c:pt>
                <c:pt idx="879">
                  <c:v>-652.25455153643816</c:v>
                </c:pt>
                <c:pt idx="880">
                  <c:v>-649.92307237087687</c:v>
                </c:pt>
                <c:pt idx="881">
                  <c:v>-647.57702244597897</c:v>
                </c:pt>
                <c:pt idx="882">
                  <c:v>-645.21624282096309</c:v>
                </c:pt>
                <c:pt idx="883">
                  <c:v>-642.84057121497858</c:v>
                </c:pt>
                <c:pt idx="884">
                  <c:v>-640.44984190801392</c:v>
                </c:pt>
                <c:pt idx="885">
                  <c:v>-638.04388563797079</c:v>
                </c:pt>
                <c:pt idx="886">
                  <c:v>-635.62252949372396</c:v>
                </c:pt>
                <c:pt idx="887">
                  <c:v>-633.18559680397027</c:v>
                </c:pt>
                <c:pt idx="888">
                  <c:v>-630.7329070216648</c:v>
                </c:pt>
                <c:pt idx="889">
                  <c:v>-628.26427560382581</c:v>
                </c:pt>
                <c:pt idx="890">
                  <c:v>-625.77951388648057</c:v>
                </c:pt>
                <c:pt idx="891">
                  <c:v>-623.27842895450829</c:v>
                </c:pt>
                <c:pt idx="892">
                  <c:v>-620.76082350612296</c:v>
                </c:pt>
                <c:pt idx="893">
                  <c:v>-618.22649571172542</c:v>
                </c:pt>
                <c:pt idx="894">
                  <c:v>-615.67523906683141</c:v>
                </c:pt>
                <c:pt idx="895">
                  <c:v>-613.10684223877331</c:v>
                </c:pt>
                <c:pt idx="896">
                  <c:v>-610.52108890684519</c:v>
                </c:pt>
                <c:pt idx="897">
                  <c:v>-607.91775759554844</c:v>
                </c:pt>
                <c:pt idx="898">
                  <c:v>-605.2966215005664</c:v>
                </c:pt>
                <c:pt idx="899">
                  <c:v>-602.65744830707933</c:v>
                </c:pt>
                <c:pt idx="900">
                  <c:v>-600</c:v>
                </c:pt>
                <c:pt idx="901">
                  <c:v>-597.32403266568804</c:v>
                </c:pt>
                <c:pt idx="902">
                  <c:v>-594.62929628466838</c:v>
                </c:pt>
                <c:pt idx="903">
                  <c:v>-591.91553451484947</c:v>
                </c:pt>
                <c:pt idx="904">
                  <c:v>-589.18248446470295</c:v>
                </c:pt>
                <c:pt idx="905">
                  <c:v>-586.42987645582991</c:v>
                </c:pt>
                <c:pt idx="906">
                  <c:v>-583.65743377429885</c:v>
                </c:pt>
                <c:pt idx="907">
                  <c:v>-580.86487241009854</c:v>
                </c:pt>
                <c:pt idx="908">
                  <c:v>-578.05190078400403</c:v>
                </c:pt>
                <c:pt idx="909">
                  <c:v>-575.21821946110151</c:v>
                </c:pt>
                <c:pt idx="910">
                  <c:v>-572.36352085016733</c:v>
                </c:pt>
                <c:pt idx="911">
                  <c:v>-569.48748888803516</c:v>
                </c:pt>
                <c:pt idx="912">
                  <c:v>-566.58979870802477</c:v>
                </c:pt>
                <c:pt idx="913">
                  <c:v>-563.67011629143508</c:v>
                </c:pt>
                <c:pt idx="914">
                  <c:v>-560.72809810103149</c:v>
                </c:pt>
                <c:pt idx="915">
                  <c:v>-557.76339069537357</c:v>
                </c:pt>
                <c:pt idx="916">
                  <c:v>-554.77563032274588</c:v>
                </c:pt>
                <c:pt idx="917">
                  <c:v>-551.76444249335236</c:v>
                </c:pt>
                <c:pt idx="918">
                  <c:v>-548.72944152833645</c:v>
                </c:pt>
                <c:pt idx="919">
                  <c:v>-545.67023008406829</c:v>
                </c:pt>
                <c:pt idx="920">
                  <c:v>-542.58639865002147</c:v>
                </c:pt>
                <c:pt idx="921">
                  <c:v>-539.47752501842001</c:v>
                </c:pt>
                <c:pt idx="922">
                  <c:v>-536.34317372368969</c:v>
                </c:pt>
                <c:pt idx="923">
                  <c:v>-533.18289544958213</c:v>
                </c:pt>
                <c:pt idx="924">
                  <c:v>-529.99622640166035</c:v>
                </c:pt>
                <c:pt idx="925">
                  <c:v>-526.78268764263692</c:v>
                </c:pt>
                <c:pt idx="926">
                  <c:v>-523.54178438783663</c:v>
                </c:pt>
                <c:pt idx="927">
                  <c:v>-520.27300525781652</c:v>
                </c:pt>
                <c:pt idx="928">
                  <c:v>-516.97582148491233</c:v>
                </c:pt>
                <c:pt idx="929">
                  <c:v>-513.64968607018534</c:v>
                </c:pt>
                <c:pt idx="930">
                  <c:v>-510.29403288692293</c:v>
                </c:pt>
                <c:pt idx="931">
                  <c:v>-506.90827572648681</c:v>
                </c:pt>
                <c:pt idx="932">
                  <c:v>-503.49180728190601</c:v>
                </c:pt>
                <c:pt idx="933">
                  <c:v>-500.04399806417035</c:v>
                </c:pt>
                <c:pt idx="934">
                  <c:v>-496.56419524569026</c:v>
                </c:pt>
                <c:pt idx="935">
                  <c:v>-493.05172142484201</c:v>
                </c:pt>
                <c:pt idx="936">
                  <c:v>-489.50587330490737</c:v>
                </c:pt>
                <c:pt idx="937">
                  <c:v>-485.92592028003611</c:v>
                </c:pt>
                <c:pt idx="938">
                  <c:v>-482.31110292009657</c:v>
                </c:pt>
                <c:pt idx="939">
                  <c:v>-478.66063134542412</c:v>
                </c:pt>
                <c:pt idx="940">
                  <c:v>-474.97368348151667</c:v>
                </c:pt>
                <c:pt idx="941">
                  <c:v>-471.24940318264595</c:v>
                </c:pt>
                <c:pt idx="942">
                  <c:v>-467.48689821213173</c:v>
                </c:pt>
                <c:pt idx="943">
                  <c:v>-463.68523806565162</c:v>
                </c:pt>
                <c:pt idx="944">
                  <c:v>-459.84345162239725</c:v>
                </c:pt>
                <c:pt idx="945">
                  <c:v>-455.96052460711991</c:v>
                </c:pt>
                <c:pt idx="946">
                  <c:v>-452.03539684409674</c:v>
                </c:pt>
                <c:pt idx="947">
                  <c:v>-448.06695928175736</c:v>
                </c:pt>
                <c:pt idx="948">
                  <c:v>-444.05405076409335</c:v>
                </c:pt>
                <c:pt idx="949">
                  <c:v>-439.99545452197572</c:v>
                </c:pt>
                <c:pt idx="950">
                  <c:v>-435.88989435406734</c:v>
                </c:pt>
                <c:pt idx="951">
                  <c:v>-431.73603046305971</c:v>
                </c:pt>
                <c:pt idx="952">
                  <c:v>-427.5324549083964</c:v>
                </c:pt>
                <c:pt idx="953">
                  <c:v>-423.27768663136499</c:v>
                </c:pt>
                <c:pt idx="954">
                  <c:v>-418.9701660023062</c:v>
                </c:pt>
                <c:pt idx="955">
                  <c:v>-414.60824883255759</c:v>
                </c:pt>
                <c:pt idx="956">
                  <c:v>-410.19019978541661</c:v>
                </c:pt>
                <c:pt idx="957">
                  <c:v>-405.7141851106515</c:v>
                </c:pt>
                <c:pt idx="958">
                  <c:v>-401.17826461561947</c:v>
                </c:pt>
                <c:pt idx="959">
                  <c:v>-396.58038277252194</c:v>
                </c:pt>
                <c:pt idx="960">
                  <c:v>-391.91835884530849</c:v>
                </c:pt>
                <c:pt idx="961">
                  <c:v>-387.18987590070071</c:v>
                </c:pt>
                <c:pt idx="962">
                  <c:v>-382.39246854508002</c:v>
                </c:pt>
                <c:pt idx="963">
                  <c:v>-377.52350920174496</c:v>
                </c:pt>
                <c:pt idx="964">
                  <c:v>-372.58019271024057</c:v>
                </c:pt>
                <c:pt idx="965">
                  <c:v>-367.55951898978213</c:v>
                </c:pt>
                <c:pt idx="966">
                  <c:v>-362.45827346054608</c:v>
                </c:pt>
                <c:pt idx="967">
                  <c:v>-357.27300485762987</c:v>
                </c:pt>
                <c:pt idx="968">
                  <c:v>-352</c:v>
                </c:pt>
                <c:pt idx="969">
                  <c:v>-346.63525498714063</c:v>
                </c:pt>
                <c:pt idx="970">
                  <c:v>-341.17444218463959</c:v>
                </c:pt>
                <c:pt idx="971">
                  <c:v>-335.61287222036049</c:v>
                </c:pt>
                <c:pt idx="972">
                  <c:v>-329.94545003682049</c:v>
                </c:pt>
                <c:pt idx="973">
                  <c:v>-324.16662382176236</c:v>
                </c:pt>
                <c:pt idx="974">
                  <c:v>-318.2703253525217</c:v>
                </c:pt>
                <c:pt idx="975">
                  <c:v>-312.24989991991993</c:v>
                </c:pt>
                <c:pt idx="976">
                  <c:v>-306.09802351534387</c:v>
                </c:pt>
                <c:pt idx="977">
                  <c:v>-299.80660433019148</c:v>
                </c:pt>
                <c:pt idx="978">
                  <c:v>-293.36666477294244</c:v>
                </c:pt>
                <c:pt idx="979">
                  <c:v>-286.76819907374664</c:v>
                </c:pt>
                <c:pt idx="980">
                  <c:v>-280</c:v>
                </c:pt>
                <c:pt idx="981">
                  <c:v>-273.04944607158609</c:v>
                </c:pt>
                <c:pt idx="982">
                  <c:v>-265.90223767392405</c:v>
                </c:pt>
                <c:pt idx="983">
                  <c:v>-258.54206620973696</c:v>
                </c:pt>
                <c:pt idx="984">
                  <c:v>-250.95019426172996</c:v>
                </c:pt>
                <c:pt idx="985">
                  <c:v>-243.10491562286435</c:v>
                </c:pt>
                <c:pt idx="986">
                  <c:v>-234.98085028359225</c:v>
                </c:pt>
                <c:pt idx="987">
                  <c:v>-226.54800815721157</c:v>
                </c:pt>
                <c:pt idx="988">
                  <c:v>-217.77052142105919</c:v>
                </c:pt>
                <c:pt idx="989">
                  <c:v>-208.60488968382307</c:v>
                </c:pt>
                <c:pt idx="990">
                  <c:v>-198.997487421324</c:v>
                </c:pt>
                <c:pt idx="991">
                  <c:v>-188.88091486436633</c:v>
                </c:pt>
                <c:pt idx="992">
                  <c:v>-178.16845961056069</c:v>
                </c:pt>
                <c:pt idx="993">
                  <c:v>-166.74531477675768</c:v>
                </c:pt>
                <c:pt idx="994">
                  <c:v>-154.45387661046257</c:v>
                </c:pt>
                <c:pt idx="995">
                  <c:v>-141.06735979665885</c:v>
                </c:pt>
                <c:pt idx="996">
                  <c:v>-126.23787070447599</c:v>
                </c:pt>
                <c:pt idx="997">
                  <c:v>-109.38007131100254</c:v>
                </c:pt>
                <c:pt idx="998">
                  <c:v>-89.353231614754705</c:v>
                </c:pt>
                <c:pt idx="999">
                  <c:v>-63.21392251711643</c:v>
                </c:pt>
                <c:pt idx="1000">
                  <c:v>0</c:v>
                </c:pt>
              </c:numCache>
            </c:numRef>
          </c:xVal>
          <c:yVal>
            <c:numRef>
              <c:f>Kruh!$J$3:$J$1003</c:f>
              <c:numCache>
                <c:formatCode>General</c:formatCode>
                <c:ptCount val="10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  <c:pt idx="1000">
                  <c:v>2000</c:v>
                </c:pt>
              </c:numCache>
            </c:numRef>
          </c:yVal>
          <c:smooth val="0"/>
        </c:ser>
        <c:ser>
          <c:idx val="1"/>
          <c:order val="1"/>
          <c:tx>
            <c:v>Profil_P</c:v>
          </c:tx>
          <c:marker>
            <c:symbol val="none"/>
          </c:marker>
          <c:xVal>
            <c:numRef>
              <c:f>Kruh!$I$3:$I$1003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63.21392251711643</c:v>
                </c:pt>
                <c:pt idx="2">
                  <c:v>89.353231614754705</c:v>
                </c:pt>
                <c:pt idx="3">
                  <c:v>109.38007131100254</c:v>
                </c:pt>
                <c:pt idx="4">
                  <c:v>126.23787070447599</c:v>
                </c:pt>
                <c:pt idx="5">
                  <c:v>141.06735979665885</c:v>
                </c:pt>
                <c:pt idx="6">
                  <c:v>154.45387661046257</c:v>
                </c:pt>
                <c:pt idx="7">
                  <c:v>166.74531477675768</c:v>
                </c:pt>
                <c:pt idx="8">
                  <c:v>178.16845961056069</c:v>
                </c:pt>
                <c:pt idx="9">
                  <c:v>188.88091486436633</c:v>
                </c:pt>
                <c:pt idx="10">
                  <c:v>198.997487421324</c:v>
                </c:pt>
                <c:pt idx="11">
                  <c:v>208.60488968382307</c:v>
                </c:pt>
                <c:pt idx="12">
                  <c:v>217.77052142105919</c:v>
                </c:pt>
                <c:pt idx="13">
                  <c:v>226.54800815721157</c:v>
                </c:pt>
                <c:pt idx="14">
                  <c:v>234.98085028359225</c:v>
                </c:pt>
                <c:pt idx="15">
                  <c:v>243.10491562286435</c:v>
                </c:pt>
                <c:pt idx="16">
                  <c:v>250.95019426172996</c:v>
                </c:pt>
                <c:pt idx="17">
                  <c:v>258.54206620973696</c:v>
                </c:pt>
                <c:pt idx="18">
                  <c:v>265.90223767392405</c:v>
                </c:pt>
                <c:pt idx="19">
                  <c:v>273.04944607158609</c:v>
                </c:pt>
                <c:pt idx="20">
                  <c:v>280</c:v>
                </c:pt>
                <c:pt idx="21">
                  <c:v>286.76819907374664</c:v>
                </c:pt>
                <c:pt idx="22">
                  <c:v>293.36666477294244</c:v>
                </c:pt>
                <c:pt idx="23">
                  <c:v>299.80660433019148</c:v>
                </c:pt>
                <c:pt idx="24">
                  <c:v>306.09802351534387</c:v>
                </c:pt>
                <c:pt idx="25">
                  <c:v>312.24989991991993</c:v>
                </c:pt>
                <c:pt idx="26">
                  <c:v>318.2703253525217</c:v>
                </c:pt>
                <c:pt idx="27">
                  <c:v>324.16662382176236</c:v>
                </c:pt>
                <c:pt idx="28">
                  <c:v>329.94545003682049</c:v>
                </c:pt>
                <c:pt idx="29">
                  <c:v>335.61287222036049</c:v>
                </c:pt>
                <c:pt idx="30">
                  <c:v>341.17444218463959</c:v>
                </c:pt>
                <c:pt idx="31">
                  <c:v>346.63525498714063</c:v>
                </c:pt>
                <c:pt idx="32">
                  <c:v>352</c:v>
                </c:pt>
                <c:pt idx="33">
                  <c:v>357.27300485762987</c:v>
                </c:pt>
                <c:pt idx="34">
                  <c:v>362.45827346054608</c:v>
                </c:pt>
                <c:pt idx="35">
                  <c:v>367.55951898978213</c:v>
                </c:pt>
                <c:pt idx="36">
                  <c:v>372.58019271024057</c:v>
                </c:pt>
                <c:pt idx="37">
                  <c:v>377.52350920174496</c:v>
                </c:pt>
                <c:pt idx="38">
                  <c:v>382.39246854508002</c:v>
                </c:pt>
                <c:pt idx="39">
                  <c:v>387.18987590070071</c:v>
                </c:pt>
                <c:pt idx="40">
                  <c:v>391.91835884530849</c:v>
                </c:pt>
                <c:pt idx="41">
                  <c:v>396.58038277252194</c:v>
                </c:pt>
                <c:pt idx="42">
                  <c:v>401.17826461561947</c:v>
                </c:pt>
                <c:pt idx="43">
                  <c:v>405.7141851106515</c:v>
                </c:pt>
                <c:pt idx="44">
                  <c:v>410.19019978541661</c:v>
                </c:pt>
                <c:pt idx="45">
                  <c:v>414.60824883255759</c:v>
                </c:pt>
                <c:pt idx="46">
                  <c:v>418.9701660023062</c:v>
                </c:pt>
                <c:pt idx="47">
                  <c:v>423.27768663136499</c:v>
                </c:pt>
                <c:pt idx="48">
                  <c:v>427.5324549083964</c:v>
                </c:pt>
                <c:pt idx="49">
                  <c:v>431.73603046305971</c:v>
                </c:pt>
                <c:pt idx="50">
                  <c:v>435.88989435406734</c:v>
                </c:pt>
                <c:pt idx="51">
                  <c:v>439.99545452197572</c:v>
                </c:pt>
                <c:pt idx="52">
                  <c:v>444.05405076409335</c:v>
                </c:pt>
                <c:pt idx="53">
                  <c:v>448.06695928175736</c:v>
                </c:pt>
                <c:pt idx="54">
                  <c:v>452.03539684409674</c:v>
                </c:pt>
                <c:pt idx="55">
                  <c:v>455.96052460711991</c:v>
                </c:pt>
                <c:pt idx="56">
                  <c:v>459.84345162239725</c:v>
                </c:pt>
                <c:pt idx="57">
                  <c:v>463.68523806565162</c:v>
                </c:pt>
                <c:pt idx="58">
                  <c:v>467.48689821213173</c:v>
                </c:pt>
                <c:pt idx="59">
                  <c:v>471.24940318264595</c:v>
                </c:pt>
                <c:pt idx="60">
                  <c:v>474.97368348151667</c:v>
                </c:pt>
                <c:pt idx="61">
                  <c:v>478.66063134542412</c:v>
                </c:pt>
                <c:pt idx="62">
                  <c:v>482.31110292009657</c:v>
                </c:pt>
                <c:pt idx="63">
                  <c:v>485.92592028003611</c:v>
                </c:pt>
                <c:pt idx="64">
                  <c:v>489.50587330490737</c:v>
                </c:pt>
                <c:pt idx="65">
                  <c:v>493.05172142484201</c:v>
                </c:pt>
                <c:pt idx="66">
                  <c:v>496.56419524569026</c:v>
                </c:pt>
                <c:pt idx="67">
                  <c:v>500.04399806417035</c:v>
                </c:pt>
                <c:pt idx="68">
                  <c:v>503.49180728190601</c:v>
                </c:pt>
                <c:pt idx="69">
                  <c:v>506.90827572648681</c:v>
                </c:pt>
                <c:pt idx="70">
                  <c:v>510.29403288692293</c:v>
                </c:pt>
                <c:pt idx="71">
                  <c:v>513.64968607018534</c:v>
                </c:pt>
                <c:pt idx="72">
                  <c:v>516.97582148491233</c:v>
                </c:pt>
                <c:pt idx="73">
                  <c:v>520.27300525781652</c:v>
                </c:pt>
                <c:pt idx="74">
                  <c:v>523.54178438783663</c:v>
                </c:pt>
                <c:pt idx="75">
                  <c:v>526.78268764263692</c:v>
                </c:pt>
                <c:pt idx="76">
                  <c:v>529.99622640166035</c:v>
                </c:pt>
                <c:pt idx="77">
                  <c:v>533.18289544958213</c:v>
                </c:pt>
                <c:pt idx="78">
                  <c:v>536.34317372368969</c:v>
                </c:pt>
                <c:pt idx="79">
                  <c:v>539.47752501842001</c:v>
                </c:pt>
                <c:pt idx="80">
                  <c:v>542.58639865002147</c:v>
                </c:pt>
                <c:pt idx="81">
                  <c:v>545.67023008406829</c:v>
                </c:pt>
                <c:pt idx="82">
                  <c:v>548.72944152833645</c:v>
                </c:pt>
                <c:pt idx="83">
                  <c:v>551.76444249335236</c:v>
                </c:pt>
                <c:pt idx="84">
                  <c:v>554.77563032274588</c:v>
                </c:pt>
                <c:pt idx="85">
                  <c:v>557.76339069537357</c:v>
                </c:pt>
                <c:pt idx="86">
                  <c:v>560.72809810103149</c:v>
                </c:pt>
                <c:pt idx="87">
                  <c:v>563.67011629143508</c:v>
                </c:pt>
                <c:pt idx="88">
                  <c:v>566.58979870802477</c:v>
                </c:pt>
                <c:pt idx="89">
                  <c:v>569.48748888803516</c:v>
                </c:pt>
                <c:pt idx="90">
                  <c:v>572.36352085016733</c:v>
                </c:pt>
                <c:pt idx="91">
                  <c:v>575.21821946110151</c:v>
                </c:pt>
                <c:pt idx="92">
                  <c:v>578.05190078400403</c:v>
                </c:pt>
                <c:pt idx="93">
                  <c:v>580.86487241009854</c:v>
                </c:pt>
                <c:pt idx="94">
                  <c:v>583.65743377429885</c:v>
                </c:pt>
                <c:pt idx="95">
                  <c:v>586.42987645582991</c:v>
                </c:pt>
                <c:pt idx="96">
                  <c:v>589.18248446470295</c:v>
                </c:pt>
                <c:pt idx="97">
                  <c:v>591.91553451484947</c:v>
                </c:pt>
                <c:pt idx="98">
                  <c:v>594.62929628466838</c:v>
                </c:pt>
                <c:pt idx="99">
                  <c:v>597.32403266568804</c:v>
                </c:pt>
                <c:pt idx="100">
                  <c:v>600</c:v>
                </c:pt>
                <c:pt idx="101">
                  <c:v>602.65744830707933</c:v>
                </c:pt>
                <c:pt idx="102">
                  <c:v>605.2966215005664</c:v>
                </c:pt>
                <c:pt idx="103">
                  <c:v>607.91775759554844</c:v>
                </c:pt>
                <c:pt idx="104">
                  <c:v>610.52108890684519</c:v>
                </c:pt>
                <c:pt idx="105">
                  <c:v>613.10684223877331</c:v>
                </c:pt>
                <c:pt idx="106">
                  <c:v>615.67523906683141</c:v>
                </c:pt>
                <c:pt idx="107">
                  <c:v>618.22649571172542</c:v>
                </c:pt>
                <c:pt idx="108">
                  <c:v>620.76082350612296</c:v>
                </c:pt>
                <c:pt idx="109">
                  <c:v>623.27842895450829</c:v>
                </c:pt>
                <c:pt idx="110">
                  <c:v>625.77951388648057</c:v>
                </c:pt>
                <c:pt idx="111">
                  <c:v>628.26427560382581</c:v>
                </c:pt>
                <c:pt idx="112">
                  <c:v>630.7329070216648</c:v>
                </c:pt>
                <c:pt idx="113">
                  <c:v>633.18559680397027</c:v>
                </c:pt>
                <c:pt idx="114">
                  <c:v>635.62252949372396</c:v>
                </c:pt>
                <c:pt idx="115">
                  <c:v>638.04388563797079</c:v>
                </c:pt>
                <c:pt idx="116">
                  <c:v>640.44984190801392</c:v>
                </c:pt>
                <c:pt idx="117">
                  <c:v>642.84057121497858</c:v>
                </c:pt>
                <c:pt idx="118">
                  <c:v>645.21624282096309</c:v>
                </c:pt>
                <c:pt idx="119">
                  <c:v>647.57702244597897</c:v>
                </c:pt>
                <c:pt idx="120">
                  <c:v>649.92307237087687</c:v>
                </c:pt>
                <c:pt idx="121">
                  <c:v>652.25455153643816</c:v>
                </c:pt>
                <c:pt idx="122">
                  <c:v>654.57161563880845</c:v>
                </c:pt>
                <c:pt idx="123">
                  <c:v>656.87441722143512</c:v>
                </c:pt>
                <c:pt idx="124">
                  <c:v>659.16310576366459</c:v>
                </c:pt>
                <c:pt idx="125">
                  <c:v>661.43782776614762</c:v>
                </c:pt>
                <c:pt idx="126">
                  <c:v>663.69872683319204</c:v>
                </c:pt>
                <c:pt idx="127">
                  <c:v>665.94594375219378</c:v>
                </c:pt>
                <c:pt idx="128">
                  <c:v>668.17961657027524</c:v>
                </c:pt>
                <c:pt idx="129">
                  <c:v>670.39988066824719</c:v>
                </c:pt>
                <c:pt idx="130">
                  <c:v>672.60686883200947</c:v>
                </c:pt>
                <c:pt idx="131">
                  <c:v>674.80071132149828</c:v>
                </c:pt>
                <c:pt idx="132">
                  <c:v>676.98153593728091</c:v>
                </c:pt>
                <c:pt idx="133">
                  <c:v>679.1494680848981</c:v>
                </c:pt>
                <c:pt idx="134">
                  <c:v>681.30463083704342</c:v>
                </c:pt>
                <c:pt idx="135">
                  <c:v>683.44714499367103</c:v>
                </c:pt>
                <c:pt idx="136">
                  <c:v>685.57712914011358</c:v>
                </c:pt>
                <c:pt idx="137">
                  <c:v>687.69469970329135</c:v>
                </c:pt>
                <c:pt idx="138">
                  <c:v>689.79997100608807</c:v>
                </c:pt>
                <c:pt idx="139">
                  <c:v>691.89305531996774</c:v>
                </c:pt>
                <c:pt idx="140">
                  <c:v>693.97406291589891</c:v>
                </c:pt>
                <c:pt idx="141">
                  <c:v>696.04310211365498</c:v>
                </c:pt>
                <c:pt idx="142">
                  <c:v>698.10027932955302</c:v>
                </c:pt>
                <c:pt idx="143">
                  <c:v>700.14569912268973</c:v>
                </c:pt>
                <c:pt idx="144">
                  <c:v>702.1794642397341</c:v>
                </c:pt>
                <c:pt idx="145">
                  <c:v>704.20167565833015</c:v>
                </c:pt>
                <c:pt idx="146">
                  <c:v>706.21243262916289</c:v>
                </c:pt>
                <c:pt idx="147">
                  <c:v>708.21183271673738</c:v>
                </c:pt>
                <c:pt idx="148">
                  <c:v>710.19997183891803</c:v>
                </c:pt>
                <c:pt idx="149">
                  <c:v>712.17694430527581</c:v>
                </c:pt>
                <c:pt idx="150">
                  <c:v>714.14284285428505</c:v>
                </c:pt>
                <c:pt idx="151">
                  <c:v>716.09775868941244</c:v>
                </c:pt>
                <c:pt idx="152">
                  <c:v>718.04178151413998</c:v>
                </c:pt>
                <c:pt idx="153">
                  <c:v>719.97499956595721</c:v>
                </c:pt>
                <c:pt idx="154">
                  <c:v>721.89749964936163</c:v>
                </c:pt>
                <c:pt idx="155">
                  <c:v>723.80936716790291</c:v>
                </c:pt>
                <c:pt idx="156">
                  <c:v>725.71068615530248</c:v>
                </c:pt>
                <c:pt idx="157">
                  <c:v>727.60153930568345</c:v>
                </c:pt>
                <c:pt idx="158">
                  <c:v>729.48200800293898</c:v>
                </c:pt>
                <c:pt idx="159">
                  <c:v>731.35217234927256</c:v>
                </c:pt>
                <c:pt idx="160">
                  <c:v>733.21211119293434</c:v>
                </c:pt>
                <c:pt idx="161">
                  <c:v>735.06190215518586</c:v>
                </c:pt>
                <c:pt idx="162">
                  <c:v>736.90162165651395</c:v>
                </c:pt>
                <c:pt idx="163">
                  <c:v>738.73134494212445</c:v>
                </c:pt>
                <c:pt idx="164">
                  <c:v>740.55114610673581</c:v>
                </c:pt>
                <c:pt idx="165">
                  <c:v>742.36109811869858</c:v>
                </c:pt>
                <c:pt idx="166">
                  <c:v>744.16127284346101</c:v>
                </c:pt>
                <c:pt idx="167">
                  <c:v>745.95174106640434</c:v>
                </c:pt>
                <c:pt idx="168">
                  <c:v>747.73257251506709</c:v>
                </c:pt>
                <c:pt idx="169">
                  <c:v>749.50383588077784</c:v>
                </c:pt>
                <c:pt idx="170">
                  <c:v>751.26559883971788</c:v>
                </c:pt>
                <c:pt idx="171">
                  <c:v>753.01792807342906</c:v>
                </c:pt>
                <c:pt idx="172">
                  <c:v>754.76088928878664</c:v>
                </c:pt>
                <c:pt idx="173">
                  <c:v>756.49454723745362</c:v>
                </c:pt>
                <c:pt idx="174">
                  <c:v>758.21896573483309</c:v>
                </c:pt>
                <c:pt idx="175">
                  <c:v>759.9342076785332</c:v>
                </c:pt>
                <c:pt idx="176">
                  <c:v>761.6403350663619</c:v>
                </c:pt>
                <c:pt idx="177">
                  <c:v>763.33740901386454</c:v>
                </c:pt>
                <c:pt idx="178">
                  <c:v>765.0254897714193</c:v>
                </c:pt>
                <c:pt idx="179">
                  <c:v>766.70463674090297</c:v>
                </c:pt>
                <c:pt idx="180">
                  <c:v>768.37490849194182</c:v>
                </c:pt>
                <c:pt idx="181">
                  <c:v>770.03636277775865</c:v>
                </c:pt>
                <c:pt idx="182">
                  <c:v>771.68905655062906</c:v>
                </c:pt>
                <c:pt idx="183">
                  <c:v>773.33304597695815</c:v>
                </c:pt>
                <c:pt idx="184">
                  <c:v>774.96838645198943</c:v>
                </c:pt>
                <c:pt idx="185">
                  <c:v>776.59513261415691</c:v>
                </c:pt>
                <c:pt idx="186">
                  <c:v>778.21333835909036</c:v>
                </c:pt>
                <c:pt idx="187">
                  <c:v>779.8230568532839</c:v>
                </c:pt>
                <c:pt idx="188">
                  <c:v>781.4243405474391</c:v>
                </c:pt>
                <c:pt idx="189">
                  <c:v>783.01724118949005</c:v>
                </c:pt>
                <c:pt idx="190">
                  <c:v>784.60180983732118</c:v>
                </c:pt>
                <c:pt idx="191">
                  <c:v>786.17809687118609</c:v>
                </c:pt>
                <c:pt idx="192">
                  <c:v>787.74615200583492</c:v>
                </c:pt>
                <c:pt idx="193">
                  <c:v>789.30602430236149</c:v>
                </c:pt>
                <c:pt idx="194">
                  <c:v>790.857762179774</c:v>
                </c:pt>
                <c:pt idx="195">
                  <c:v>792.40141342630125</c:v>
                </c:pt>
                <c:pt idx="196">
                  <c:v>793.93702521043826</c:v>
                </c:pt>
                <c:pt idx="197">
                  <c:v>795.46464409174087</c:v>
                </c:pt>
                <c:pt idx="198">
                  <c:v>796.9843160313759</c:v>
                </c:pt>
                <c:pt idx="199">
                  <c:v>798.49608640243196</c:v>
                </c:pt>
                <c:pt idx="200">
                  <c:v>800</c:v>
                </c:pt>
                <c:pt idx="201">
                  <c:v>801.49610105102818</c:v>
                </c:pt>
                <c:pt idx="202">
                  <c:v>802.98443322395735</c:v>
                </c:pt>
                <c:pt idx="203">
                  <c:v>804.46503963814359</c:v>
                </c:pt>
                <c:pt idx="204">
                  <c:v>805.93796287307373</c:v>
                </c:pt>
                <c:pt idx="205">
                  <c:v>807.40324497737811</c:v>
                </c:pt>
                <c:pt idx="206">
                  <c:v>808.86092747764746</c:v>
                </c:pt>
                <c:pt idx="207">
                  <c:v>810.31105138705846</c:v>
                </c:pt>
                <c:pt idx="208">
                  <c:v>811.75365721381263</c:v>
                </c:pt>
                <c:pt idx="209">
                  <c:v>813.18878496939442</c:v>
                </c:pt>
                <c:pt idx="210">
                  <c:v>814.61647417665199</c:v>
                </c:pt>
                <c:pt idx="211">
                  <c:v>816.03676387770668</c:v>
                </c:pt>
                <c:pt idx="212">
                  <c:v>817.44969264169401</c:v>
                </c:pt>
                <c:pt idx="213">
                  <c:v>818.85529857234235</c:v>
                </c:pt>
                <c:pt idx="214">
                  <c:v>820.25361931539203</c:v>
                </c:pt>
                <c:pt idx="215">
                  <c:v>821.64469206585886</c:v>
                </c:pt>
                <c:pt idx="216">
                  <c:v>823.02855357514784</c:v>
                </c:pt>
                <c:pt idx="217">
                  <c:v>824.40524015801839</c:v>
                </c:pt>
                <c:pt idx="218">
                  <c:v>825.7747876994066</c:v>
                </c:pt>
                <c:pt idx="219">
                  <c:v>827.13723166110708</c:v>
                </c:pt>
                <c:pt idx="220">
                  <c:v>828.49260708831912</c:v>
                </c:pt>
                <c:pt idx="221">
                  <c:v>829.84094861605854</c:v>
                </c:pt>
                <c:pt idx="222">
                  <c:v>831.18229047544082</c:v>
                </c:pt>
                <c:pt idx="223">
                  <c:v>832.51666649983656</c:v>
                </c:pt>
                <c:pt idx="224">
                  <c:v>833.84411013090448</c:v>
                </c:pt>
                <c:pt idx="225">
                  <c:v>835.16465442450328</c:v>
                </c:pt>
                <c:pt idx="226">
                  <c:v>836.47833205648544</c:v>
                </c:pt>
                <c:pt idx="227">
                  <c:v>837.78517532837736</c:v>
                </c:pt>
                <c:pt idx="228">
                  <c:v>839.08521617294628</c:v>
                </c:pt>
                <c:pt idx="229">
                  <c:v>840.37848615965891</c:v>
                </c:pt>
                <c:pt idx="230">
                  <c:v>841.66501650003249</c:v>
                </c:pt>
                <c:pt idx="231">
                  <c:v>842.94483805288235</c:v>
                </c:pt>
                <c:pt idx="232">
                  <c:v>844.21798132946685</c:v>
                </c:pt>
                <c:pt idx="233">
                  <c:v>845.48447649853392</c:v>
                </c:pt>
                <c:pt idx="234">
                  <c:v>846.74435339127001</c:v>
                </c:pt>
                <c:pt idx="235">
                  <c:v>847.9976415061542</c:v>
                </c:pt>
                <c:pt idx="236">
                  <c:v>849.24437001371996</c:v>
                </c:pt>
                <c:pt idx="237">
                  <c:v>850.48456776122634</c:v>
                </c:pt>
                <c:pt idx="238">
                  <c:v>851.71826327724125</c:v>
                </c:pt>
                <c:pt idx="239">
                  <c:v>852.94548477613739</c:v>
                </c:pt>
                <c:pt idx="240">
                  <c:v>854.16626016250484</c:v>
                </c:pt>
                <c:pt idx="241">
                  <c:v>855.3806170354809</c:v>
                </c:pt>
                <c:pt idx="242">
                  <c:v>856.58858269299856</c:v>
                </c:pt>
                <c:pt idx="243">
                  <c:v>857.79018413595759</c:v>
                </c:pt>
                <c:pt idx="244">
                  <c:v>858.98544807231747</c:v>
                </c:pt>
                <c:pt idx="245">
                  <c:v>860.17440092111553</c:v>
                </c:pt>
                <c:pt idx="246">
                  <c:v>861.35706881641136</c:v>
                </c:pt>
                <c:pt idx="247">
                  <c:v>862.53347761115913</c:v>
                </c:pt>
                <c:pt idx="248">
                  <c:v>863.70365288100993</c:v>
                </c:pt>
                <c:pt idx="249">
                  <c:v>864.86761992804429</c:v>
                </c:pt>
                <c:pt idx="250">
                  <c:v>866.02540378443859</c:v>
                </c:pt>
                <c:pt idx="251">
                  <c:v>867.17702921606497</c:v>
                </c:pt>
                <c:pt idx="252">
                  <c:v>868.32252072602614</c:v>
                </c:pt>
                <c:pt idx="253">
                  <c:v>869.46190255812814</c:v>
                </c:pt>
                <c:pt idx="254">
                  <c:v>870.59519870029146</c:v>
                </c:pt>
                <c:pt idx="255">
                  <c:v>871.72243288790037</c:v>
                </c:pt>
                <c:pt idx="256">
                  <c:v>872.84362860709473</c:v>
                </c:pt>
                <c:pt idx="257">
                  <c:v>873.95880909800314</c:v>
                </c:pt>
                <c:pt idx="258">
                  <c:v>875.06799735791958</c:v>
                </c:pt>
                <c:pt idx="259">
                  <c:v>876.17121614442465</c:v>
                </c:pt>
                <c:pt idx="260">
                  <c:v>877.2684879784523</c:v>
                </c:pt>
                <c:pt idx="261">
                  <c:v>878.35983514730458</c:v>
                </c:pt>
                <c:pt idx="262">
                  <c:v>879.44527970761203</c:v>
                </c:pt>
                <c:pt idx="263">
                  <c:v>880.52484348824589</c:v>
                </c:pt>
                <c:pt idx="264">
                  <c:v>881.59854809317824</c:v>
                </c:pt>
                <c:pt idx="265">
                  <c:v>882.66641490429436</c:v>
                </c:pt>
                <c:pt idx="266">
                  <c:v>883.72846508415694</c:v>
                </c:pt>
                <c:pt idx="267">
                  <c:v>884.7847195787233</c:v>
                </c:pt>
                <c:pt idx="268">
                  <c:v>885.83519912001691</c:v>
                </c:pt>
                <c:pt idx="269">
                  <c:v>886.87992422875379</c:v>
                </c:pt>
                <c:pt idx="270">
                  <c:v>887.91891521692457</c:v>
                </c:pt>
                <c:pt idx="271">
                  <c:v>888.95219219033368</c:v>
                </c:pt>
                <c:pt idx="272">
                  <c:v>889.97977505109634</c:v>
                </c:pt>
                <c:pt idx="273">
                  <c:v>891.00168350009301</c:v>
                </c:pt>
                <c:pt idx="274">
                  <c:v>892.01793703938483</c:v>
                </c:pt>
                <c:pt idx="275">
                  <c:v>893.02855497458756</c:v>
                </c:pt>
                <c:pt idx="276">
                  <c:v>894.03355641720736</c:v>
                </c:pt>
                <c:pt idx="277">
                  <c:v>895.03296028693831</c:v>
                </c:pt>
                <c:pt idx="278">
                  <c:v>896.02678531392132</c:v>
                </c:pt>
                <c:pt idx="279">
                  <c:v>897.01505004096782</c:v>
                </c:pt>
                <c:pt idx="280">
                  <c:v>897.99777282574598</c:v>
                </c:pt>
                <c:pt idx="281">
                  <c:v>898.97497184293184</c:v>
                </c:pt>
                <c:pt idx="282">
                  <c:v>899.94666508632611</c:v>
                </c:pt>
                <c:pt idx="283">
                  <c:v>900.91287037093662</c:v>
                </c:pt>
                <c:pt idx="284">
                  <c:v>901.87360533502692</c:v>
                </c:pt>
                <c:pt idx="285">
                  <c:v>902.82888744213324</c:v>
                </c:pt>
                <c:pt idx="286">
                  <c:v>903.77873398304746</c:v>
                </c:pt>
                <c:pt idx="287">
                  <c:v>904.72316207777067</c:v>
                </c:pt>
                <c:pt idx="288">
                  <c:v>905.66218867743396</c:v>
                </c:pt>
                <c:pt idx="289">
                  <c:v>906.5958305661901</c:v>
                </c:pt>
                <c:pt idx="290">
                  <c:v>907.52410436307423</c:v>
                </c:pt>
                <c:pt idx="291">
                  <c:v>908.44702652383648</c:v>
                </c:pt>
                <c:pt idx="292">
                  <c:v>909.36461334274497</c:v>
                </c:pt>
                <c:pt idx="293">
                  <c:v>910.2768809543611</c:v>
                </c:pt>
                <c:pt idx="294">
                  <c:v>911.18384533528683</c:v>
                </c:pt>
                <c:pt idx="295">
                  <c:v>912.08552230588555</c:v>
                </c:pt>
                <c:pt idx="296">
                  <c:v>912.98192753197475</c:v>
                </c:pt>
                <c:pt idx="297">
                  <c:v>913.87307652649451</c:v>
                </c:pt>
                <c:pt idx="298">
                  <c:v>914.75898465114847</c:v>
                </c:pt>
                <c:pt idx="299">
                  <c:v>915.63966711802084</c:v>
                </c:pt>
                <c:pt idx="300">
                  <c:v>916.51513899116799</c:v>
                </c:pt>
                <c:pt idx="301">
                  <c:v>917.38541518818579</c:v>
                </c:pt>
                <c:pt idx="302">
                  <c:v>918.25051048175305</c:v>
                </c:pt>
                <c:pt idx="303">
                  <c:v>919.11043950115152</c:v>
                </c:pt>
                <c:pt idx="304">
                  <c:v>919.96521673376321</c:v>
                </c:pt>
                <c:pt idx="305">
                  <c:v>920.81485652654408</c:v>
                </c:pt>
                <c:pt idx="306">
                  <c:v>921.65937308747641</c:v>
                </c:pt>
                <c:pt idx="307">
                  <c:v>922.49878048699884</c:v>
                </c:pt>
                <c:pt idx="308">
                  <c:v>923.33309265941512</c:v>
                </c:pt>
                <c:pt idx="309">
                  <c:v>924.16232340428166</c:v>
                </c:pt>
                <c:pt idx="310">
                  <c:v>924.98648638777422</c:v>
                </c:pt>
                <c:pt idx="311">
                  <c:v>925.80559514403456</c:v>
                </c:pt>
                <c:pt idx="312">
                  <c:v>926.61966307649652</c:v>
                </c:pt>
                <c:pt idx="313">
                  <c:v>927.42870345919312</c:v>
                </c:pt>
                <c:pt idx="314">
                  <c:v>928.23272943804341</c:v>
                </c:pt>
                <c:pt idx="315">
                  <c:v>929.03175403212128</c:v>
                </c:pt>
                <c:pt idx="316">
                  <c:v>929.82579013490476</c:v>
                </c:pt>
                <c:pt idx="317">
                  <c:v>930.61485051550733</c:v>
                </c:pt>
                <c:pt idx="318">
                  <c:v>931.39894781989096</c:v>
                </c:pt>
                <c:pt idx="319">
                  <c:v>932.17809457206192</c:v>
                </c:pt>
                <c:pt idx="320">
                  <c:v>932.95230317524806</c:v>
                </c:pt>
                <c:pt idx="321">
                  <c:v>933.72158591306004</c:v>
                </c:pt>
                <c:pt idx="322">
                  <c:v>934.48595495063489</c:v>
                </c:pt>
                <c:pt idx="323">
                  <c:v>935.24542233576312</c:v>
                </c:pt>
                <c:pt idx="324">
                  <c:v>936</c:v>
                </c:pt>
                <c:pt idx="325">
                  <c:v>936.74969975975978</c:v>
                </c:pt>
                <c:pt idx="326">
                  <c:v>937.49453331739483</c:v>
                </c:pt>
                <c:pt idx="327">
                  <c:v>938.2345122622595</c:v>
                </c:pt>
                <c:pt idx="328">
                  <c:v>938.96964807175743</c:v>
                </c:pt>
                <c:pt idx="329">
                  <c:v>939.69995211237506</c:v>
                </c:pt>
                <c:pt idx="330">
                  <c:v>940.42543564069979</c:v>
                </c:pt>
                <c:pt idx="331">
                  <c:v>941.14610980442353</c:v>
                </c:pt>
                <c:pt idx="332">
                  <c:v>941.86198564333188</c:v>
                </c:pt>
                <c:pt idx="333">
                  <c:v>942.57307409027976</c:v>
                </c:pt>
                <c:pt idx="334">
                  <c:v>943.279385972152</c:v>
                </c:pt>
                <c:pt idx="335">
                  <c:v>943.98093201081133</c:v>
                </c:pt>
                <c:pt idx="336">
                  <c:v>944.67772282403268</c:v>
                </c:pt>
                <c:pt idx="337">
                  <c:v>945.36976892642383</c:v>
                </c:pt>
                <c:pt idx="338">
                  <c:v>946.05708073033315</c:v>
                </c:pt>
                <c:pt idx="339">
                  <c:v>946.73966854674472</c:v>
                </c:pt>
                <c:pt idx="340">
                  <c:v>947.41754258616095</c:v>
                </c:pt>
                <c:pt idx="341">
                  <c:v>948.09071295947206</c:v>
                </c:pt>
                <c:pt idx="342">
                  <c:v>948.7591896788141</c:v>
                </c:pt>
                <c:pt idx="343">
                  <c:v>949.42298265841453</c:v>
                </c:pt>
                <c:pt idx="344">
                  <c:v>950.08210171542544</c:v>
                </c:pt>
                <c:pt idx="345">
                  <c:v>950.73655657074642</c:v>
                </c:pt>
                <c:pt idx="346">
                  <c:v>951.38635684983421</c:v>
                </c:pt>
                <c:pt idx="347">
                  <c:v>952.03151208350243</c:v>
                </c:pt>
                <c:pt idx="348">
                  <c:v>952.67203170870926</c:v>
                </c:pt>
                <c:pt idx="349">
                  <c:v>953.3079250693346</c:v>
                </c:pt>
                <c:pt idx="350">
                  <c:v>953.93920141694559</c:v>
                </c:pt>
                <c:pt idx="351">
                  <c:v>954.56586991155302</c:v>
                </c:pt>
                <c:pt idx="352">
                  <c:v>955.1879396223552</c:v>
                </c:pt>
                <c:pt idx="353">
                  <c:v>955.80541952847284</c:v>
                </c:pt>
                <c:pt idx="354">
                  <c:v>956.41831851967368</c:v>
                </c:pt>
                <c:pt idx="355">
                  <c:v>957.0266453970861</c:v>
                </c:pt>
                <c:pt idx="356">
                  <c:v>957.63040887390366</c:v>
                </c:pt>
                <c:pt idx="357">
                  <c:v>958.2296175760797</c:v>
                </c:pt>
                <c:pt idx="358">
                  <c:v>958.82428004301187</c:v>
                </c:pt>
                <c:pt idx="359">
                  <c:v>959.41440472821751</c:v>
                </c:pt>
                <c:pt idx="360">
                  <c:v>960</c:v>
                </c:pt>
                <c:pt idx="361">
                  <c:v>960.58107414210485</c:v>
                </c:pt>
                <c:pt idx="362">
                  <c:v>961.15763535436793</c:v>
                </c:pt>
                <c:pt idx="363">
                  <c:v>961.72969175335334</c:v>
                </c:pt>
                <c:pt idx="364">
                  <c:v>962.29725137298408</c:v>
                </c:pt>
                <c:pt idx="365">
                  <c:v>962.86032216516219</c:v>
                </c:pt>
                <c:pt idx="366">
                  <c:v>963.41891200038208</c:v>
                </c:pt>
                <c:pt idx="367">
                  <c:v>963.97302866833365</c:v>
                </c:pt>
                <c:pt idx="368">
                  <c:v>964.52267987849825</c:v>
                </c:pt>
                <c:pt idx="369">
                  <c:v>965.06787326073595</c:v>
                </c:pt>
                <c:pt idx="370">
                  <c:v>965.60861636586492</c:v>
                </c:pt>
                <c:pt idx="371">
                  <c:v>966.14491666623178</c:v>
                </c:pt>
                <c:pt idx="372">
                  <c:v>966.67678155627596</c:v>
                </c:pt>
                <c:pt idx="373">
                  <c:v>967.20421835308389</c:v>
                </c:pt>
                <c:pt idx="374">
                  <c:v>967.72723429693758</c:v>
                </c:pt>
                <c:pt idx="375">
                  <c:v>968.24583655185427</c:v>
                </c:pt>
                <c:pt idx="376">
                  <c:v>968.76003220611858</c:v>
                </c:pt>
                <c:pt idx="377">
                  <c:v>969.2698282728087</c:v>
                </c:pt>
                <c:pt idx="378">
                  <c:v>969.77523169031292</c:v>
                </c:pt>
                <c:pt idx="379">
                  <c:v>970.27624932284107</c:v>
                </c:pt>
                <c:pt idx="380">
                  <c:v>970.77288796092773</c:v>
                </c:pt>
                <c:pt idx="381">
                  <c:v>971.26515432192866</c:v>
                </c:pt>
                <c:pt idx="382">
                  <c:v>971.75305505051028</c:v>
                </c:pt>
                <c:pt idx="383">
                  <c:v>972.23659671913197</c:v>
                </c:pt>
                <c:pt idx="384">
                  <c:v>972.71578582852248</c:v>
                </c:pt>
                <c:pt idx="385">
                  <c:v>973.19062880814874</c:v>
                </c:pt>
                <c:pt idx="386">
                  <c:v>973.66113201667861</c:v>
                </c:pt>
                <c:pt idx="387">
                  <c:v>974.12730174243654</c:v>
                </c:pt>
                <c:pt idx="388">
                  <c:v>974.58914420385372</c:v>
                </c:pt>
                <c:pt idx="389">
                  <c:v>975.04666554991104</c:v>
                </c:pt>
                <c:pt idx="390">
                  <c:v>975.49987186057592</c:v>
                </c:pt>
                <c:pt idx="391">
                  <c:v>975.94876914723352</c:v>
                </c:pt>
                <c:pt idx="392">
                  <c:v>976.39336335311089</c:v>
                </c:pt>
                <c:pt idx="393">
                  <c:v>976.83366035369602</c:v>
                </c:pt>
                <c:pt idx="394">
                  <c:v>977.26966595715021</c:v>
                </c:pt>
                <c:pt idx="395">
                  <c:v>977.70138590471481</c:v>
                </c:pt>
                <c:pt idx="396">
                  <c:v>978.12882587111199</c:v>
                </c:pt>
                <c:pt idx="397">
                  <c:v>978.55199146493999</c:v>
                </c:pt>
                <c:pt idx="398">
                  <c:v>978.97088822906267</c:v>
                </c:pt>
                <c:pt idx="399">
                  <c:v>979.38552164099303</c:v>
                </c:pt>
                <c:pt idx="400">
                  <c:v>979.79589711327128</c:v>
                </c:pt>
                <c:pt idx="401">
                  <c:v>980.20201999383778</c:v>
                </c:pt>
                <c:pt idx="402">
                  <c:v>980.60389556640041</c:v>
                </c:pt>
                <c:pt idx="403">
                  <c:v>981.00152905079608</c:v>
                </c:pt>
                <c:pt idx="404">
                  <c:v>981.39492560334747</c:v>
                </c:pt>
                <c:pt idx="405">
                  <c:v>981.78409031721435</c:v>
                </c:pt>
                <c:pt idx="406">
                  <c:v>982.16902822273926</c:v>
                </c:pt>
                <c:pt idx="407">
                  <c:v>982.54974428778928</c:v>
                </c:pt>
                <c:pt idx="408">
                  <c:v>982.92624341809085</c:v>
                </c:pt>
                <c:pt idx="409">
                  <c:v>983.29853045756147</c:v>
                </c:pt>
                <c:pt idx="410">
                  <c:v>983.66661018863499</c:v>
                </c:pt>
                <c:pt idx="411">
                  <c:v>984.03048733258265</c:v>
                </c:pt>
                <c:pt idx="412">
                  <c:v>984.3901665498289</c:v>
                </c:pt>
                <c:pt idx="413">
                  <c:v>984.74565244026337</c:v>
                </c:pt>
                <c:pt idx="414">
                  <c:v>985.0969495435462</c:v>
                </c:pt>
                <c:pt idx="415">
                  <c:v>985.44406233941049</c:v>
                </c:pt>
                <c:pt idx="416">
                  <c:v>985.78699524795923</c:v>
                </c:pt>
                <c:pt idx="417">
                  <c:v>986.12575262995745</c:v>
                </c:pt>
                <c:pt idx="418">
                  <c:v>986.46033878712024</c:v>
                </c:pt>
                <c:pt idx="419">
                  <c:v>986.79075796239601</c:v>
                </c:pt>
                <c:pt idx="420">
                  <c:v>987.1170143402453</c:v>
                </c:pt>
                <c:pt idx="421">
                  <c:v>987.43911204691506</c:v>
                </c:pt>
                <c:pt idx="422">
                  <c:v>987.75705515070865</c:v>
                </c:pt>
                <c:pt idx="423">
                  <c:v>988.07084766225137</c:v>
                </c:pt>
                <c:pt idx="424">
                  <c:v>988.38049353475208</c:v>
                </c:pt>
                <c:pt idx="425">
                  <c:v>988.68599666425939</c:v>
                </c:pt>
                <c:pt idx="426">
                  <c:v>988.98736088991552</c:v>
                </c:pt>
                <c:pt idx="427">
                  <c:v>989.28458999420388</c:v>
                </c:pt>
                <c:pt idx="428">
                  <c:v>989.57768770319387</c:v>
                </c:pt>
                <c:pt idx="429">
                  <c:v>989.86665768678154</c:v>
                </c:pt>
                <c:pt idx="430">
                  <c:v>990.15150355892501</c:v>
                </c:pt>
                <c:pt idx="431">
                  <c:v>990.43222887787738</c:v>
                </c:pt>
                <c:pt idx="432">
                  <c:v>990.70883714641411</c:v>
                </c:pt>
                <c:pt idx="433">
                  <c:v>990.98133181205787</c:v>
                </c:pt>
                <c:pt idx="434">
                  <c:v>991.2497162672986</c:v>
                </c:pt>
                <c:pt idx="435">
                  <c:v>991.51399384980948</c:v>
                </c:pt>
                <c:pt idx="436">
                  <c:v>991.77416784265961</c:v>
                </c:pt>
                <c:pt idx="437">
                  <c:v>992.03024147452277</c:v>
                </c:pt>
                <c:pt idx="438">
                  <c:v>992.28221791988187</c:v>
                </c:pt>
                <c:pt idx="439">
                  <c:v>992.53010029923018</c:v>
                </c:pt>
                <c:pt idx="440">
                  <c:v>992.77389167926856</c:v>
                </c:pt>
                <c:pt idx="441">
                  <c:v>993.01359507309871</c:v>
                </c:pt>
                <c:pt idx="442">
                  <c:v>993.24921344041343</c:v>
                </c:pt>
                <c:pt idx="443">
                  <c:v>993.48074968768265</c:v>
                </c:pt>
                <c:pt idx="444">
                  <c:v>993.70820666833583</c:v>
                </c:pt>
                <c:pt idx="445">
                  <c:v>993.93158718294092</c:v>
                </c:pt>
                <c:pt idx="446">
                  <c:v>994.15089397937982</c:v>
                </c:pt>
                <c:pt idx="447">
                  <c:v>994.36612975302012</c:v>
                </c:pt>
                <c:pt idx="448">
                  <c:v>994.57729714688344</c:v>
                </c:pt>
                <c:pt idx="449">
                  <c:v>994.78439875180993</c:v>
                </c:pt>
                <c:pt idx="450">
                  <c:v>994.98743710661995</c:v>
                </c:pt>
                <c:pt idx="451">
                  <c:v>995.18641469827151</c:v>
                </c:pt>
                <c:pt idx="452">
                  <c:v>995.38133396201476</c:v>
                </c:pt>
                <c:pt idx="453">
                  <c:v>995.57219728154325</c:v>
                </c:pt>
                <c:pt idx="454">
                  <c:v>995.75900698914097</c:v>
                </c:pt>
                <c:pt idx="455">
                  <c:v>995.941765365827</c:v>
                </c:pt>
                <c:pt idx="456">
                  <c:v>996.12047464149634</c:v>
                </c:pt>
                <c:pt idx="457">
                  <c:v>996.29513699505731</c:v>
                </c:pt>
                <c:pt idx="458">
                  <c:v>996.46575455456571</c:v>
                </c:pt>
                <c:pt idx="459">
                  <c:v>996.63232939735599</c:v>
                </c:pt>
                <c:pt idx="460">
                  <c:v>996.794863550169</c:v>
                </c:pt>
                <c:pt idx="461">
                  <c:v>996.9533589892759</c:v>
                </c:pt>
                <c:pt idx="462">
                  <c:v>997.10781764059993</c:v>
                </c:pt>
                <c:pt idx="463">
                  <c:v>997.25824137983443</c:v>
                </c:pt>
                <c:pt idx="464">
                  <c:v>997.40463203255683</c:v>
                </c:pt>
                <c:pt idx="465">
                  <c:v>997.54699137434125</c:v>
                </c:pt>
                <c:pt idx="466">
                  <c:v>997.68532113086644</c:v>
                </c:pt>
                <c:pt idx="467">
                  <c:v>997.81962297802102</c:v>
                </c:pt>
                <c:pt idx="468">
                  <c:v>997.94989854200594</c:v>
                </c:pt>
                <c:pt idx="469">
                  <c:v>998.07614939943335</c:v>
                </c:pt>
                <c:pt idx="470">
                  <c:v>998.19837707742238</c:v>
                </c:pt>
                <c:pt idx="471">
                  <c:v>998.3165830536924</c:v>
                </c:pt>
                <c:pt idx="472">
                  <c:v>998.43076875665247</c:v>
                </c:pt>
                <c:pt idx="473">
                  <c:v>998.54093556548798</c:v>
                </c:pt>
                <c:pt idx="474">
                  <c:v>998.64708481024468</c:v>
                </c:pt>
                <c:pt idx="475">
                  <c:v>998.749217771909</c:v>
                </c:pt>
                <c:pt idx="476">
                  <c:v>998.84733568248555</c:v>
                </c:pt>
                <c:pt idx="477">
                  <c:v>998.9414397250722</c:v>
                </c:pt>
                <c:pt idx="478">
                  <c:v>999.03153103393083</c:v>
                </c:pt>
                <c:pt idx="479">
                  <c:v>999.11761069455679</c:v>
                </c:pt>
                <c:pt idx="480">
                  <c:v>999.19967974374367</c:v>
                </c:pt>
                <c:pt idx="481">
                  <c:v>999.27773916964645</c:v>
                </c:pt>
                <c:pt idx="482">
                  <c:v>999.3517899118408</c:v>
                </c:pt>
                <c:pt idx="483">
                  <c:v>999.42183286137993</c:v>
                </c:pt>
                <c:pt idx="484">
                  <c:v>999.48786886084815</c:v>
                </c:pt>
                <c:pt idx="485">
                  <c:v>999.54989870441182</c:v>
                </c:pt>
                <c:pt idx="486">
                  <c:v>999.60792313786715</c:v>
                </c:pt>
                <c:pt idx="487">
                  <c:v>999.6619428586846</c:v>
                </c:pt>
                <c:pt idx="488">
                  <c:v>999.71195851605171</c:v>
                </c:pt>
                <c:pt idx="489">
                  <c:v>999.75797071091165</c:v>
                </c:pt>
                <c:pt idx="490">
                  <c:v>999.79997999599902</c:v>
                </c:pt>
                <c:pt idx="491">
                  <c:v>999.83798687587375</c:v>
                </c:pt>
                <c:pt idx="492">
                  <c:v>999.8719918069512</c:v>
                </c:pt>
                <c:pt idx="493">
                  <c:v>999.90199519752935</c:v>
                </c:pt>
                <c:pt idx="494">
                  <c:v>999.92799740781334</c:v>
                </c:pt>
                <c:pt idx="495">
                  <c:v>999.94999874993755</c:v>
                </c:pt>
                <c:pt idx="496">
                  <c:v>999.96799948798366</c:v>
                </c:pt>
                <c:pt idx="497">
                  <c:v>999.98199983799714</c:v>
                </c:pt>
                <c:pt idx="498">
                  <c:v>999.99199996799973</c:v>
                </c:pt>
                <c:pt idx="499">
                  <c:v>999.99799999799995</c:v>
                </c:pt>
                <c:pt idx="500">
                  <c:v>1000</c:v>
                </c:pt>
                <c:pt idx="501">
                  <c:v>999.99799999799995</c:v>
                </c:pt>
                <c:pt idx="502">
                  <c:v>999.99199996799973</c:v>
                </c:pt>
                <c:pt idx="503">
                  <c:v>999.98199983799714</c:v>
                </c:pt>
                <c:pt idx="504">
                  <c:v>999.96799948798366</c:v>
                </c:pt>
                <c:pt idx="505">
                  <c:v>999.94999874993755</c:v>
                </c:pt>
                <c:pt idx="506">
                  <c:v>999.92799740781334</c:v>
                </c:pt>
                <c:pt idx="507">
                  <c:v>999.90199519752935</c:v>
                </c:pt>
                <c:pt idx="508">
                  <c:v>999.8719918069512</c:v>
                </c:pt>
                <c:pt idx="509">
                  <c:v>999.83798687587375</c:v>
                </c:pt>
                <c:pt idx="510">
                  <c:v>999.79997999599902</c:v>
                </c:pt>
                <c:pt idx="511">
                  <c:v>999.75797071091165</c:v>
                </c:pt>
                <c:pt idx="512">
                  <c:v>999.71195851605171</c:v>
                </c:pt>
                <c:pt idx="513">
                  <c:v>999.6619428586846</c:v>
                </c:pt>
                <c:pt idx="514">
                  <c:v>999.60792313786715</c:v>
                </c:pt>
                <c:pt idx="515">
                  <c:v>999.54989870441182</c:v>
                </c:pt>
                <c:pt idx="516">
                  <c:v>999.48786886084815</c:v>
                </c:pt>
                <c:pt idx="517">
                  <c:v>999.42183286137993</c:v>
                </c:pt>
                <c:pt idx="518">
                  <c:v>999.3517899118408</c:v>
                </c:pt>
                <c:pt idx="519">
                  <c:v>999.27773916964645</c:v>
                </c:pt>
                <c:pt idx="520">
                  <c:v>999.19967974374367</c:v>
                </c:pt>
                <c:pt idx="521">
                  <c:v>999.11761069455679</c:v>
                </c:pt>
                <c:pt idx="522">
                  <c:v>999.03153103393083</c:v>
                </c:pt>
                <c:pt idx="523">
                  <c:v>998.9414397250722</c:v>
                </c:pt>
                <c:pt idx="524">
                  <c:v>998.84733568248555</c:v>
                </c:pt>
                <c:pt idx="525">
                  <c:v>998.749217771909</c:v>
                </c:pt>
                <c:pt idx="526">
                  <c:v>998.64708481024468</c:v>
                </c:pt>
                <c:pt idx="527">
                  <c:v>998.54093556548798</c:v>
                </c:pt>
                <c:pt idx="528">
                  <c:v>998.43076875665247</c:v>
                </c:pt>
                <c:pt idx="529">
                  <c:v>998.3165830536924</c:v>
                </c:pt>
                <c:pt idx="530">
                  <c:v>998.19837707742238</c:v>
                </c:pt>
                <c:pt idx="531">
                  <c:v>998.07614939943335</c:v>
                </c:pt>
                <c:pt idx="532">
                  <c:v>997.94989854200594</c:v>
                </c:pt>
                <c:pt idx="533">
                  <c:v>997.81962297802102</c:v>
                </c:pt>
                <c:pt idx="534">
                  <c:v>997.68532113086644</c:v>
                </c:pt>
                <c:pt idx="535">
                  <c:v>997.54699137434125</c:v>
                </c:pt>
                <c:pt idx="536">
                  <c:v>997.40463203255683</c:v>
                </c:pt>
                <c:pt idx="537">
                  <c:v>997.25824137983443</c:v>
                </c:pt>
                <c:pt idx="538">
                  <c:v>997.10781764059993</c:v>
                </c:pt>
                <c:pt idx="539">
                  <c:v>996.9533589892759</c:v>
                </c:pt>
                <c:pt idx="540">
                  <c:v>996.794863550169</c:v>
                </c:pt>
                <c:pt idx="541">
                  <c:v>996.63232939735599</c:v>
                </c:pt>
                <c:pt idx="542">
                  <c:v>996.46575455456571</c:v>
                </c:pt>
                <c:pt idx="543">
                  <c:v>996.29513699505731</c:v>
                </c:pt>
                <c:pt idx="544">
                  <c:v>996.12047464149634</c:v>
                </c:pt>
                <c:pt idx="545">
                  <c:v>995.941765365827</c:v>
                </c:pt>
                <c:pt idx="546">
                  <c:v>995.75900698914097</c:v>
                </c:pt>
                <c:pt idx="547">
                  <c:v>995.57219728154325</c:v>
                </c:pt>
                <c:pt idx="548">
                  <c:v>995.38133396201476</c:v>
                </c:pt>
                <c:pt idx="549">
                  <c:v>995.18641469827151</c:v>
                </c:pt>
                <c:pt idx="550">
                  <c:v>994.98743710661995</c:v>
                </c:pt>
                <c:pt idx="551">
                  <c:v>994.78439875180993</c:v>
                </c:pt>
                <c:pt idx="552">
                  <c:v>994.57729714688344</c:v>
                </c:pt>
                <c:pt idx="553">
                  <c:v>994.36612975302012</c:v>
                </c:pt>
                <c:pt idx="554">
                  <c:v>994.15089397937982</c:v>
                </c:pt>
                <c:pt idx="555">
                  <c:v>993.93158718294092</c:v>
                </c:pt>
                <c:pt idx="556">
                  <c:v>993.70820666833583</c:v>
                </c:pt>
                <c:pt idx="557">
                  <c:v>993.48074968768265</c:v>
                </c:pt>
                <c:pt idx="558">
                  <c:v>993.24921344041343</c:v>
                </c:pt>
                <c:pt idx="559">
                  <c:v>993.01359507309871</c:v>
                </c:pt>
                <c:pt idx="560">
                  <c:v>992.77389167926856</c:v>
                </c:pt>
                <c:pt idx="561">
                  <c:v>992.53010029923018</c:v>
                </c:pt>
                <c:pt idx="562">
                  <c:v>992.28221791988187</c:v>
                </c:pt>
                <c:pt idx="563">
                  <c:v>992.03024147452277</c:v>
                </c:pt>
                <c:pt idx="564">
                  <c:v>991.77416784265961</c:v>
                </c:pt>
                <c:pt idx="565">
                  <c:v>991.51399384980948</c:v>
                </c:pt>
                <c:pt idx="566">
                  <c:v>991.2497162672986</c:v>
                </c:pt>
                <c:pt idx="567">
                  <c:v>990.98133181205787</c:v>
                </c:pt>
                <c:pt idx="568">
                  <c:v>990.70883714641411</c:v>
                </c:pt>
                <c:pt idx="569">
                  <c:v>990.43222887787738</c:v>
                </c:pt>
                <c:pt idx="570">
                  <c:v>990.15150355892501</c:v>
                </c:pt>
                <c:pt idx="571">
                  <c:v>989.86665768678154</c:v>
                </c:pt>
                <c:pt idx="572">
                  <c:v>989.57768770319387</c:v>
                </c:pt>
                <c:pt idx="573">
                  <c:v>989.28458999420388</c:v>
                </c:pt>
                <c:pt idx="574">
                  <c:v>988.98736088991552</c:v>
                </c:pt>
                <c:pt idx="575">
                  <c:v>988.68599666425939</c:v>
                </c:pt>
                <c:pt idx="576">
                  <c:v>988.38049353475208</c:v>
                </c:pt>
                <c:pt idx="577">
                  <c:v>988.07084766225137</c:v>
                </c:pt>
                <c:pt idx="578">
                  <c:v>987.75705515070865</c:v>
                </c:pt>
                <c:pt idx="579">
                  <c:v>987.43911204691506</c:v>
                </c:pt>
                <c:pt idx="580">
                  <c:v>987.1170143402453</c:v>
                </c:pt>
                <c:pt idx="581">
                  <c:v>986.79075796239601</c:v>
                </c:pt>
                <c:pt idx="582">
                  <c:v>986.46033878712024</c:v>
                </c:pt>
                <c:pt idx="583">
                  <c:v>986.12575262995745</c:v>
                </c:pt>
                <c:pt idx="584">
                  <c:v>985.78699524795923</c:v>
                </c:pt>
                <c:pt idx="585">
                  <c:v>985.44406233941049</c:v>
                </c:pt>
                <c:pt idx="586">
                  <c:v>985.0969495435462</c:v>
                </c:pt>
                <c:pt idx="587">
                  <c:v>984.74565244026337</c:v>
                </c:pt>
                <c:pt idx="588">
                  <c:v>984.3901665498289</c:v>
                </c:pt>
                <c:pt idx="589">
                  <c:v>984.03048733258265</c:v>
                </c:pt>
                <c:pt idx="590">
                  <c:v>983.66661018863499</c:v>
                </c:pt>
                <c:pt idx="591">
                  <c:v>983.29853045756147</c:v>
                </c:pt>
                <c:pt idx="592">
                  <c:v>982.92624341809085</c:v>
                </c:pt>
                <c:pt idx="593">
                  <c:v>982.54974428778928</c:v>
                </c:pt>
                <c:pt idx="594">
                  <c:v>982.16902822273926</c:v>
                </c:pt>
                <c:pt idx="595">
                  <c:v>981.78409031721435</c:v>
                </c:pt>
                <c:pt idx="596">
                  <c:v>981.39492560334747</c:v>
                </c:pt>
                <c:pt idx="597">
                  <c:v>981.00152905079608</c:v>
                </c:pt>
                <c:pt idx="598">
                  <c:v>980.60389556640041</c:v>
                </c:pt>
                <c:pt idx="599">
                  <c:v>980.20201999383778</c:v>
                </c:pt>
                <c:pt idx="600">
                  <c:v>979.79589711327128</c:v>
                </c:pt>
                <c:pt idx="601">
                  <c:v>979.38552164099303</c:v>
                </c:pt>
                <c:pt idx="602">
                  <c:v>978.97088822906267</c:v>
                </c:pt>
                <c:pt idx="603">
                  <c:v>978.55199146493999</c:v>
                </c:pt>
                <c:pt idx="604">
                  <c:v>978.12882587111199</c:v>
                </c:pt>
                <c:pt idx="605">
                  <c:v>977.70138590471481</c:v>
                </c:pt>
                <c:pt idx="606">
                  <c:v>977.26966595715021</c:v>
                </c:pt>
                <c:pt idx="607">
                  <c:v>976.83366035369602</c:v>
                </c:pt>
                <c:pt idx="608">
                  <c:v>976.39336335311089</c:v>
                </c:pt>
                <c:pt idx="609">
                  <c:v>975.94876914723352</c:v>
                </c:pt>
                <c:pt idx="610">
                  <c:v>975.49987186057592</c:v>
                </c:pt>
                <c:pt idx="611">
                  <c:v>975.04666554991104</c:v>
                </c:pt>
                <c:pt idx="612">
                  <c:v>974.58914420385372</c:v>
                </c:pt>
                <c:pt idx="613">
                  <c:v>974.12730174243654</c:v>
                </c:pt>
                <c:pt idx="614">
                  <c:v>973.66113201667861</c:v>
                </c:pt>
                <c:pt idx="615">
                  <c:v>973.19062880814874</c:v>
                </c:pt>
                <c:pt idx="616">
                  <c:v>972.71578582852248</c:v>
                </c:pt>
                <c:pt idx="617">
                  <c:v>972.23659671913197</c:v>
                </c:pt>
                <c:pt idx="618">
                  <c:v>971.75305505051028</c:v>
                </c:pt>
                <c:pt idx="619">
                  <c:v>971.26515432192866</c:v>
                </c:pt>
                <c:pt idx="620">
                  <c:v>970.77288796092773</c:v>
                </c:pt>
                <c:pt idx="621">
                  <c:v>970.27624932284107</c:v>
                </c:pt>
                <c:pt idx="622">
                  <c:v>969.77523169031292</c:v>
                </c:pt>
                <c:pt idx="623">
                  <c:v>969.2698282728087</c:v>
                </c:pt>
                <c:pt idx="624">
                  <c:v>968.76003220611858</c:v>
                </c:pt>
                <c:pt idx="625">
                  <c:v>968.24583655185427</c:v>
                </c:pt>
                <c:pt idx="626">
                  <c:v>967.72723429693758</c:v>
                </c:pt>
                <c:pt idx="627">
                  <c:v>967.20421835308389</c:v>
                </c:pt>
                <c:pt idx="628">
                  <c:v>966.67678155627596</c:v>
                </c:pt>
                <c:pt idx="629">
                  <c:v>966.14491666623178</c:v>
                </c:pt>
                <c:pt idx="630">
                  <c:v>965.60861636586492</c:v>
                </c:pt>
                <c:pt idx="631">
                  <c:v>965.06787326073595</c:v>
                </c:pt>
                <c:pt idx="632">
                  <c:v>964.52267987849825</c:v>
                </c:pt>
                <c:pt idx="633">
                  <c:v>963.97302866833365</c:v>
                </c:pt>
                <c:pt idx="634">
                  <c:v>963.41891200038208</c:v>
                </c:pt>
                <c:pt idx="635">
                  <c:v>962.86032216516219</c:v>
                </c:pt>
                <c:pt idx="636">
                  <c:v>962.29725137298408</c:v>
                </c:pt>
                <c:pt idx="637">
                  <c:v>961.72969175335334</c:v>
                </c:pt>
                <c:pt idx="638">
                  <c:v>961.15763535436793</c:v>
                </c:pt>
                <c:pt idx="639">
                  <c:v>960.58107414210485</c:v>
                </c:pt>
                <c:pt idx="640">
                  <c:v>960</c:v>
                </c:pt>
                <c:pt idx="641">
                  <c:v>959.41440472821751</c:v>
                </c:pt>
                <c:pt idx="642">
                  <c:v>958.82428004301187</c:v>
                </c:pt>
                <c:pt idx="643">
                  <c:v>958.2296175760797</c:v>
                </c:pt>
                <c:pt idx="644">
                  <c:v>957.63040887390366</c:v>
                </c:pt>
                <c:pt idx="645">
                  <c:v>957.0266453970861</c:v>
                </c:pt>
                <c:pt idx="646">
                  <c:v>956.41831851967368</c:v>
                </c:pt>
                <c:pt idx="647">
                  <c:v>955.80541952847284</c:v>
                </c:pt>
                <c:pt idx="648">
                  <c:v>955.1879396223552</c:v>
                </c:pt>
                <c:pt idx="649">
                  <c:v>954.56586991155302</c:v>
                </c:pt>
                <c:pt idx="650">
                  <c:v>953.93920141694559</c:v>
                </c:pt>
                <c:pt idx="651">
                  <c:v>953.3079250693346</c:v>
                </c:pt>
                <c:pt idx="652">
                  <c:v>952.67203170870926</c:v>
                </c:pt>
                <c:pt idx="653">
                  <c:v>952.03151208350243</c:v>
                </c:pt>
                <c:pt idx="654">
                  <c:v>951.38635684983421</c:v>
                </c:pt>
                <c:pt idx="655">
                  <c:v>950.73655657074642</c:v>
                </c:pt>
                <c:pt idx="656">
                  <c:v>950.08210171542544</c:v>
                </c:pt>
                <c:pt idx="657">
                  <c:v>949.42298265841453</c:v>
                </c:pt>
                <c:pt idx="658">
                  <c:v>948.7591896788141</c:v>
                </c:pt>
                <c:pt idx="659">
                  <c:v>948.09071295947206</c:v>
                </c:pt>
                <c:pt idx="660">
                  <c:v>947.41754258616095</c:v>
                </c:pt>
                <c:pt idx="661">
                  <c:v>946.73966854674472</c:v>
                </c:pt>
                <c:pt idx="662">
                  <c:v>946.05708073033315</c:v>
                </c:pt>
                <c:pt idx="663">
                  <c:v>945.36976892642383</c:v>
                </c:pt>
                <c:pt idx="664">
                  <c:v>944.67772282403268</c:v>
                </c:pt>
                <c:pt idx="665">
                  <c:v>943.98093201081133</c:v>
                </c:pt>
                <c:pt idx="666">
                  <c:v>943.279385972152</c:v>
                </c:pt>
                <c:pt idx="667">
                  <c:v>942.57307409027976</c:v>
                </c:pt>
                <c:pt idx="668">
                  <c:v>941.86198564333188</c:v>
                </c:pt>
                <c:pt idx="669">
                  <c:v>941.14610980442353</c:v>
                </c:pt>
                <c:pt idx="670">
                  <c:v>940.42543564069979</c:v>
                </c:pt>
                <c:pt idx="671">
                  <c:v>939.69995211237506</c:v>
                </c:pt>
                <c:pt idx="672">
                  <c:v>938.96964807175743</c:v>
                </c:pt>
                <c:pt idx="673">
                  <c:v>938.2345122622595</c:v>
                </c:pt>
                <c:pt idx="674">
                  <c:v>937.49453331739483</c:v>
                </c:pt>
                <c:pt idx="675">
                  <c:v>936.74969975975978</c:v>
                </c:pt>
                <c:pt idx="676">
                  <c:v>936</c:v>
                </c:pt>
                <c:pt idx="677">
                  <c:v>935.24542233576312</c:v>
                </c:pt>
                <c:pt idx="678">
                  <c:v>934.48595495063489</c:v>
                </c:pt>
                <c:pt idx="679">
                  <c:v>933.72158591306004</c:v>
                </c:pt>
                <c:pt idx="680">
                  <c:v>932.95230317524806</c:v>
                </c:pt>
                <c:pt idx="681">
                  <c:v>932.17809457206192</c:v>
                </c:pt>
                <c:pt idx="682">
                  <c:v>931.39894781989096</c:v>
                </c:pt>
                <c:pt idx="683">
                  <c:v>930.61485051550733</c:v>
                </c:pt>
                <c:pt idx="684">
                  <c:v>929.82579013490476</c:v>
                </c:pt>
                <c:pt idx="685">
                  <c:v>929.03175403212128</c:v>
                </c:pt>
                <c:pt idx="686">
                  <c:v>928.23272943804341</c:v>
                </c:pt>
                <c:pt idx="687">
                  <c:v>927.42870345919312</c:v>
                </c:pt>
                <c:pt idx="688">
                  <c:v>926.61966307649652</c:v>
                </c:pt>
                <c:pt idx="689">
                  <c:v>925.80559514403456</c:v>
                </c:pt>
                <c:pt idx="690">
                  <c:v>924.98648638777422</c:v>
                </c:pt>
                <c:pt idx="691">
                  <c:v>924.16232340428166</c:v>
                </c:pt>
                <c:pt idx="692">
                  <c:v>923.33309265941512</c:v>
                </c:pt>
                <c:pt idx="693">
                  <c:v>922.49878048699884</c:v>
                </c:pt>
                <c:pt idx="694">
                  <c:v>921.65937308747641</c:v>
                </c:pt>
                <c:pt idx="695">
                  <c:v>920.81485652654408</c:v>
                </c:pt>
                <c:pt idx="696">
                  <c:v>919.96521673376321</c:v>
                </c:pt>
                <c:pt idx="697">
                  <c:v>919.11043950115152</c:v>
                </c:pt>
                <c:pt idx="698">
                  <c:v>918.25051048175305</c:v>
                </c:pt>
                <c:pt idx="699">
                  <c:v>917.38541518818579</c:v>
                </c:pt>
                <c:pt idx="700">
                  <c:v>916.51513899116799</c:v>
                </c:pt>
                <c:pt idx="701">
                  <c:v>915.63966711802084</c:v>
                </c:pt>
                <c:pt idx="702">
                  <c:v>914.75898465114847</c:v>
                </c:pt>
                <c:pt idx="703">
                  <c:v>913.87307652649451</c:v>
                </c:pt>
                <c:pt idx="704">
                  <c:v>912.98192753197475</c:v>
                </c:pt>
                <c:pt idx="705">
                  <c:v>912.08552230588555</c:v>
                </c:pt>
                <c:pt idx="706">
                  <c:v>911.18384533528683</c:v>
                </c:pt>
                <c:pt idx="707">
                  <c:v>910.2768809543611</c:v>
                </c:pt>
                <c:pt idx="708">
                  <c:v>909.36461334274497</c:v>
                </c:pt>
                <c:pt idx="709">
                  <c:v>908.44702652383648</c:v>
                </c:pt>
                <c:pt idx="710">
                  <c:v>907.52410436307423</c:v>
                </c:pt>
                <c:pt idx="711">
                  <c:v>906.5958305661901</c:v>
                </c:pt>
                <c:pt idx="712">
                  <c:v>905.66218867743396</c:v>
                </c:pt>
                <c:pt idx="713">
                  <c:v>904.72316207777067</c:v>
                </c:pt>
                <c:pt idx="714">
                  <c:v>903.77873398304746</c:v>
                </c:pt>
                <c:pt idx="715">
                  <c:v>902.82888744213324</c:v>
                </c:pt>
                <c:pt idx="716">
                  <c:v>901.87360533502692</c:v>
                </c:pt>
                <c:pt idx="717">
                  <c:v>900.91287037093662</c:v>
                </c:pt>
                <c:pt idx="718">
                  <c:v>899.94666508632611</c:v>
                </c:pt>
                <c:pt idx="719">
                  <c:v>898.97497184293184</c:v>
                </c:pt>
                <c:pt idx="720">
                  <c:v>897.99777282574598</c:v>
                </c:pt>
                <c:pt idx="721">
                  <c:v>897.01505004096782</c:v>
                </c:pt>
                <c:pt idx="722">
                  <c:v>896.02678531392132</c:v>
                </c:pt>
                <c:pt idx="723">
                  <c:v>895.03296028693831</c:v>
                </c:pt>
                <c:pt idx="724">
                  <c:v>894.03355641720736</c:v>
                </c:pt>
                <c:pt idx="725">
                  <c:v>893.02855497458756</c:v>
                </c:pt>
                <c:pt idx="726">
                  <c:v>892.01793703938483</c:v>
                </c:pt>
                <c:pt idx="727">
                  <c:v>891.00168350009301</c:v>
                </c:pt>
                <c:pt idx="728">
                  <c:v>889.97977505109634</c:v>
                </c:pt>
                <c:pt idx="729">
                  <c:v>888.95219219033368</c:v>
                </c:pt>
                <c:pt idx="730">
                  <c:v>887.91891521692457</c:v>
                </c:pt>
                <c:pt idx="731">
                  <c:v>886.87992422875379</c:v>
                </c:pt>
                <c:pt idx="732">
                  <c:v>885.83519912001691</c:v>
                </c:pt>
                <c:pt idx="733">
                  <c:v>884.7847195787233</c:v>
                </c:pt>
                <c:pt idx="734">
                  <c:v>883.72846508415694</c:v>
                </c:pt>
                <c:pt idx="735">
                  <c:v>882.66641490429436</c:v>
                </c:pt>
                <c:pt idx="736">
                  <c:v>881.59854809317824</c:v>
                </c:pt>
                <c:pt idx="737">
                  <c:v>880.52484348824589</c:v>
                </c:pt>
                <c:pt idx="738">
                  <c:v>879.44527970761203</c:v>
                </c:pt>
                <c:pt idx="739">
                  <c:v>878.35983514730458</c:v>
                </c:pt>
                <c:pt idx="740">
                  <c:v>877.2684879784523</c:v>
                </c:pt>
                <c:pt idx="741">
                  <c:v>876.17121614442465</c:v>
                </c:pt>
                <c:pt idx="742">
                  <c:v>875.06799735791958</c:v>
                </c:pt>
                <c:pt idx="743">
                  <c:v>873.95880909800314</c:v>
                </c:pt>
                <c:pt idx="744">
                  <c:v>872.84362860709473</c:v>
                </c:pt>
                <c:pt idx="745">
                  <c:v>871.72243288790037</c:v>
                </c:pt>
                <c:pt idx="746">
                  <c:v>870.59519870029146</c:v>
                </c:pt>
                <c:pt idx="747">
                  <c:v>869.46190255812814</c:v>
                </c:pt>
                <c:pt idx="748">
                  <c:v>868.32252072602614</c:v>
                </c:pt>
                <c:pt idx="749">
                  <c:v>867.17702921606497</c:v>
                </c:pt>
                <c:pt idx="750">
                  <c:v>866.02540378443859</c:v>
                </c:pt>
                <c:pt idx="751">
                  <c:v>864.86761992804429</c:v>
                </c:pt>
                <c:pt idx="752">
                  <c:v>863.70365288100993</c:v>
                </c:pt>
                <c:pt idx="753">
                  <c:v>862.53347761115913</c:v>
                </c:pt>
                <c:pt idx="754">
                  <c:v>861.35706881641136</c:v>
                </c:pt>
                <c:pt idx="755">
                  <c:v>860.17440092111553</c:v>
                </c:pt>
                <c:pt idx="756">
                  <c:v>858.98544807231747</c:v>
                </c:pt>
                <c:pt idx="757">
                  <c:v>857.79018413595759</c:v>
                </c:pt>
                <c:pt idx="758">
                  <c:v>856.58858269299856</c:v>
                </c:pt>
                <c:pt idx="759">
                  <c:v>855.3806170354809</c:v>
                </c:pt>
                <c:pt idx="760">
                  <c:v>854.16626016250484</c:v>
                </c:pt>
                <c:pt idx="761">
                  <c:v>852.94548477613739</c:v>
                </c:pt>
                <c:pt idx="762">
                  <c:v>851.71826327724125</c:v>
                </c:pt>
                <c:pt idx="763">
                  <c:v>850.48456776122634</c:v>
                </c:pt>
                <c:pt idx="764">
                  <c:v>849.24437001371996</c:v>
                </c:pt>
                <c:pt idx="765">
                  <c:v>847.9976415061542</c:v>
                </c:pt>
                <c:pt idx="766">
                  <c:v>846.74435339127001</c:v>
                </c:pt>
                <c:pt idx="767">
                  <c:v>845.48447649853392</c:v>
                </c:pt>
                <c:pt idx="768">
                  <c:v>844.21798132946685</c:v>
                </c:pt>
                <c:pt idx="769">
                  <c:v>842.94483805288235</c:v>
                </c:pt>
                <c:pt idx="770">
                  <c:v>841.66501650003249</c:v>
                </c:pt>
                <c:pt idx="771">
                  <c:v>840.37848615965891</c:v>
                </c:pt>
                <c:pt idx="772">
                  <c:v>839.08521617294628</c:v>
                </c:pt>
                <c:pt idx="773">
                  <c:v>837.78517532837736</c:v>
                </c:pt>
                <c:pt idx="774">
                  <c:v>836.47833205648544</c:v>
                </c:pt>
                <c:pt idx="775">
                  <c:v>835.16465442450328</c:v>
                </c:pt>
                <c:pt idx="776">
                  <c:v>833.84411013090448</c:v>
                </c:pt>
                <c:pt idx="777">
                  <c:v>832.51666649983656</c:v>
                </c:pt>
                <c:pt idx="778">
                  <c:v>831.18229047544082</c:v>
                </c:pt>
                <c:pt idx="779">
                  <c:v>829.84094861605854</c:v>
                </c:pt>
                <c:pt idx="780">
                  <c:v>828.49260708831912</c:v>
                </c:pt>
                <c:pt idx="781">
                  <c:v>827.13723166110708</c:v>
                </c:pt>
                <c:pt idx="782">
                  <c:v>825.7747876994066</c:v>
                </c:pt>
                <c:pt idx="783">
                  <c:v>824.40524015801839</c:v>
                </c:pt>
                <c:pt idx="784">
                  <c:v>823.02855357514784</c:v>
                </c:pt>
                <c:pt idx="785">
                  <c:v>821.64469206585886</c:v>
                </c:pt>
                <c:pt idx="786">
                  <c:v>820.25361931539203</c:v>
                </c:pt>
                <c:pt idx="787">
                  <c:v>818.85529857234235</c:v>
                </c:pt>
                <c:pt idx="788">
                  <c:v>817.44969264169401</c:v>
                </c:pt>
                <c:pt idx="789">
                  <c:v>816.03676387770668</c:v>
                </c:pt>
                <c:pt idx="790">
                  <c:v>814.61647417665199</c:v>
                </c:pt>
                <c:pt idx="791">
                  <c:v>813.18878496939442</c:v>
                </c:pt>
                <c:pt idx="792">
                  <c:v>811.75365721381263</c:v>
                </c:pt>
                <c:pt idx="793">
                  <c:v>810.31105138705846</c:v>
                </c:pt>
                <c:pt idx="794">
                  <c:v>808.86092747764746</c:v>
                </c:pt>
                <c:pt idx="795">
                  <c:v>807.40324497737811</c:v>
                </c:pt>
                <c:pt idx="796">
                  <c:v>805.93796287307373</c:v>
                </c:pt>
                <c:pt idx="797">
                  <c:v>804.46503963814359</c:v>
                </c:pt>
                <c:pt idx="798">
                  <c:v>802.98443322395735</c:v>
                </c:pt>
                <c:pt idx="799">
                  <c:v>801.49610105102818</c:v>
                </c:pt>
                <c:pt idx="800">
                  <c:v>800</c:v>
                </c:pt>
                <c:pt idx="801">
                  <c:v>798.49608640243196</c:v>
                </c:pt>
                <c:pt idx="802">
                  <c:v>796.9843160313759</c:v>
                </c:pt>
                <c:pt idx="803">
                  <c:v>795.46464409174087</c:v>
                </c:pt>
                <c:pt idx="804">
                  <c:v>793.93702521043826</c:v>
                </c:pt>
                <c:pt idx="805">
                  <c:v>792.40141342630125</c:v>
                </c:pt>
                <c:pt idx="806">
                  <c:v>790.857762179774</c:v>
                </c:pt>
                <c:pt idx="807">
                  <c:v>789.30602430236149</c:v>
                </c:pt>
                <c:pt idx="808">
                  <c:v>787.74615200583492</c:v>
                </c:pt>
                <c:pt idx="809">
                  <c:v>786.17809687118609</c:v>
                </c:pt>
                <c:pt idx="810">
                  <c:v>784.60180983732118</c:v>
                </c:pt>
                <c:pt idx="811">
                  <c:v>783.01724118949005</c:v>
                </c:pt>
                <c:pt idx="812">
                  <c:v>781.4243405474391</c:v>
                </c:pt>
                <c:pt idx="813">
                  <c:v>779.8230568532839</c:v>
                </c:pt>
                <c:pt idx="814">
                  <c:v>778.21333835909036</c:v>
                </c:pt>
                <c:pt idx="815">
                  <c:v>776.59513261415691</c:v>
                </c:pt>
                <c:pt idx="816">
                  <c:v>774.96838645198943</c:v>
                </c:pt>
                <c:pt idx="817">
                  <c:v>773.33304597695815</c:v>
                </c:pt>
                <c:pt idx="818">
                  <c:v>771.68905655062906</c:v>
                </c:pt>
                <c:pt idx="819">
                  <c:v>770.03636277775865</c:v>
                </c:pt>
                <c:pt idx="820">
                  <c:v>768.37490849194182</c:v>
                </c:pt>
                <c:pt idx="821">
                  <c:v>766.70463674090297</c:v>
                </c:pt>
                <c:pt idx="822">
                  <c:v>765.0254897714193</c:v>
                </c:pt>
                <c:pt idx="823">
                  <c:v>763.33740901386454</c:v>
                </c:pt>
                <c:pt idx="824">
                  <c:v>761.6403350663619</c:v>
                </c:pt>
                <c:pt idx="825">
                  <c:v>759.9342076785332</c:v>
                </c:pt>
                <c:pt idx="826">
                  <c:v>758.21896573483309</c:v>
                </c:pt>
                <c:pt idx="827">
                  <c:v>756.49454723745362</c:v>
                </c:pt>
                <c:pt idx="828">
                  <c:v>754.76088928878664</c:v>
                </c:pt>
                <c:pt idx="829">
                  <c:v>753.01792807342906</c:v>
                </c:pt>
                <c:pt idx="830">
                  <c:v>751.26559883971788</c:v>
                </c:pt>
                <c:pt idx="831">
                  <c:v>749.50383588077784</c:v>
                </c:pt>
                <c:pt idx="832">
                  <c:v>747.73257251506709</c:v>
                </c:pt>
                <c:pt idx="833">
                  <c:v>745.95174106640434</c:v>
                </c:pt>
                <c:pt idx="834">
                  <c:v>744.16127284346101</c:v>
                </c:pt>
                <c:pt idx="835">
                  <c:v>742.36109811869858</c:v>
                </c:pt>
                <c:pt idx="836">
                  <c:v>740.55114610673581</c:v>
                </c:pt>
                <c:pt idx="837">
                  <c:v>738.73134494212445</c:v>
                </c:pt>
                <c:pt idx="838">
                  <c:v>736.90162165651395</c:v>
                </c:pt>
                <c:pt idx="839">
                  <c:v>735.06190215518586</c:v>
                </c:pt>
                <c:pt idx="840">
                  <c:v>733.21211119293434</c:v>
                </c:pt>
                <c:pt idx="841">
                  <c:v>731.35217234927256</c:v>
                </c:pt>
                <c:pt idx="842">
                  <c:v>729.48200800293898</c:v>
                </c:pt>
                <c:pt idx="843">
                  <c:v>727.60153930568345</c:v>
                </c:pt>
                <c:pt idx="844">
                  <c:v>725.71068615530248</c:v>
                </c:pt>
                <c:pt idx="845">
                  <c:v>723.80936716790291</c:v>
                </c:pt>
                <c:pt idx="846">
                  <c:v>721.89749964936163</c:v>
                </c:pt>
                <c:pt idx="847">
                  <c:v>719.97499956595721</c:v>
                </c:pt>
                <c:pt idx="848">
                  <c:v>718.04178151413998</c:v>
                </c:pt>
                <c:pt idx="849">
                  <c:v>716.09775868941244</c:v>
                </c:pt>
                <c:pt idx="850">
                  <c:v>714.14284285428505</c:v>
                </c:pt>
                <c:pt idx="851">
                  <c:v>712.17694430527581</c:v>
                </c:pt>
                <c:pt idx="852">
                  <c:v>710.19997183891803</c:v>
                </c:pt>
                <c:pt idx="853">
                  <c:v>708.21183271673738</c:v>
                </c:pt>
                <c:pt idx="854">
                  <c:v>706.21243262916289</c:v>
                </c:pt>
                <c:pt idx="855">
                  <c:v>704.20167565833015</c:v>
                </c:pt>
                <c:pt idx="856">
                  <c:v>702.1794642397341</c:v>
                </c:pt>
                <c:pt idx="857">
                  <c:v>700.14569912268973</c:v>
                </c:pt>
                <c:pt idx="858">
                  <c:v>698.10027932955302</c:v>
                </c:pt>
                <c:pt idx="859">
                  <c:v>696.04310211365498</c:v>
                </c:pt>
                <c:pt idx="860">
                  <c:v>693.97406291589891</c:v>
                </c:pt>
                <c:pt idx="861">
                  <c:v>691.89305531996774</c:v>
                </c:pt>
                <c:pt idx="862">
                  <c:v>689.79997100608807</c:v>
                </c:pt>
                <c:pt idx="863">
                  <c:v>687.69469970329135</c:v>
                </c:pt>
                <c:pt idx="864">
                  <c:v>685.57712914011358</c:v>
                </c:pt>
                <c:pt idx="865">
                  <c:v>683.44714499367103</c:v>
                </c:pt>
                <c:pt idx="866">
                  <c:v>681.30463083704342</c:v>
                </c:pt>
                <c:pt idx="867">
                  <c:v>679.1494680848981</c:v>
                </c:pt>
                <c:pt idx="868">
                  <c:v>676.98153593728091</c:v>
                </c:pt>
                <c:pt idx="869">
                  <c:v>674.80071132149828</c:v>
                </c:pt>
                <c:pt idx="870">
                  <c:v>672.60686883200947</c:v>
                </c:pt>
                <c:pt idx="871">
                  <c:v>670.39988066824719</c:v>
                </c:pt>
                <c:pt idx="872">
                  <c:v>668.17961657027524</c:v>
                </c:pt>
                <c:pt idx="873">
                  <c:v>665.94594375219378</c:v>
                </c:pt>
                <c:pt idx="874">
                  <c:v>663.69872683319204</c:v>
                </c:pt>
                <c:pt idx="875">
                  <c:v>661.43782776614762</c:v>
                </c:pt>
                <c:pt idx="876">
                  <c:v>659.16310576366459</c:v>
                </c:pt>
                <c:pt idx="877">
                  <c:v>656.87441722143512</c:v>
                </c:pt>
                <c:pt idx="878">
                  <c:v>654.57161563880845</c:v>
                </c:pt>
                <c:pt idx="879">
                  <c:v>652.25455153643816</c:v>
                </c:pt>
                <c:pt idx="880">
                  <c:v>649.92307237087687</c:v>
                </c:pt>
                <c:pt idx="881">
                  <c:v>647.57702244597897</c:v>
                </c:pt>
                <c:pt idx="882">
                  <c:v>645.21624282096309</c:v>
                </c:pt>
                <c:pt idx="883">
                  <c:v>642.84057121497858</c:v>
                </c:pt>
                <c:pt idx="884">
                  <c:v>640.44984190801392</c:v>
                </c:pt>
                <c:pt idx="885">
                  <c:v>638.04388563797079</c:v>
                </c:pt>
                <c:pt idx="886">
                  <c:v>635.62252949372396</c:v>
                </c:pt>
                <c:pt idx="887">
                  <c:v>633.18559680397027</c:v>
                </c:pt>
                <c:pt idx="888">
                  <c:v>630.7329070216648</c:v>
                </c:pt>
                <c:pt idx="889">
                  <c:v>628.26427560382581</c:v>
                </c:pt>
                <c:pt idx="890">
                  <c:v>625.77951388648057</c:v>
                </c:pt>
                <c:pt idx="891">
                  <c:v>623.27842895450829</c:v>
                </c:pt>
                <c:pt idx="892">
                  <c:v>620.76082350612296</c:v>
                </c:pt>
                <c:pt idx="893">
                  <c:v>618.22649571172542</c:v>
                </c:pt>
                <c:pt idx="894">
                  <c:v>615.67523906683141</c:v>
                </c:pt>
                <c:pt idx="895">
                  <c:v>613.10684223877331</c:v>
                </c:pt>
                <c:pt idx="896">
                  <c:v>610.52108890684519</c:v>
                </c:pt>
                <c:pt idx="897">
                  <c:v>607.91775759554844</c:v>
                </c:pt>
                <c:pt idx="898">
                  <c:v>605.2966215005664</c:v>
                </c:pt>
                <c:pt idx="899">
                  <c:v>602.65744830707933</c:v>
                </c:pt>
                <c:pt idx="900">
                  <c:v>600</c:v>
                </c:pt>
                <c:pt idx="901">
                  <c:v>597.32403266568804</c:v>
                </c:pt>
                <c:pt idx="902">
                  <c:v>594.62929628466838</c:v>
                </c:pt>
                <c:pt idx="903">
                  <c:v>591.91553451484947</c:v>
                </c:pt>
                <c:pt idx="904">
                  <c:v>589.18248446470295</c:v>
                </c:pt>
                <c:pt idx="905">
                  <c:v>586.42987645582991</c:v>
                </c:pt>
                <c:pt idx="906">
                  <c:v>583.65743377429885</c:v>
                </c:pt>
                <c:pt idx="907">
                  <c:v>580.86487241009854</c:v>
                </c:pt>
                <c:pt idx="908">
                  <c:v>578.05190078400403</c:v>
                </c:pt>
                <c:pt idx="909">
                  <c:v>575.21821946110151</c:v>
                </c:pt>
                <c:pt idx="910">
                  <c:v>572.36352085016733</c:v>
                </c:pt>
                <c:pt idx="911">
                  <c:v>569.48748888803516</c:v>
                </c:pt>
                <c:pt idx="912">
                  <c:v>566.58979870802477</c:v>
                </c:pt>
                <c:pt idx="913">
                  <c:v>563.67011629143508</c:v>
                </c:pt>
                <c:pt idx="914">
                  <c:v>560.72809810103149</c:v>
                </c:pt>
                <c:pt idx="915">
                  <c:v>557.76339069537357</c:v>
                </c:pt>
                <c:pt idx="916">
                  <c:v>554.77563032274588</c:v>
                </c:pt>
                <c:pt idx="917">
                  <c:v>551.76444249335236</c:v>
                </c:pt>
                <c:pt idx="918">
                  <c:v>548.72944152833645</c:v>
                </c:pt>
                <c:pt idx="919">
                  <c:v>545.67023008406829</c:v>
                </c:pt>
                <c:pt idx="920">
                  <c:v>542.58639865002147</c:v>
                </c:pt>
                <c:pt idx="921">
                  <c:v>539.47752501842001</c:v>
                </c:pt>
                <c:pt idx="922">
                  <c:v>536.34317372368969</c:v>
                </c:pt>
                <c:pt idx="923">
                  <c:v>533.18289544958213</c:v>
                </c:pt>
                <c:pt idx="924">
                  <c:v>529.99622640166035</c:v>
                </c:pt>
                <c:pt idx="925">
                  <c:v>526.78268764263692</c:v>
                </c:pt>
                <c:pt idx="926">
                  <c:v>523.54178438783663</c:v>
                </c:pt>
                <c:pt idx="927">
                  <c:v>520.27300525781652</c:v>
                </c:pt>
                <c:pt idx="928">
                  <c:v>516.97582148491233</c:v>
                </c:pt>
                <c:pt idx="929">
                  <c:v>513.64968607018534</c:v>
                </c:pt>
                <c:pt idx="930">
                  <c:v>510.29403288692293</c:v>
                </c:pt>
                <c:pt idx="931">
                  <c:v>506.90827572648681</c:v>
                </c:pt>
                <c:pt idx="932">
                  <c:v>503.49180728190601</c:v>
                </c:pt>
                <c:pt idx="933">
                  <c:v>500.04399806417035</c:v>
                </c:pt>
                <c:pt idx="934">
                  <c:v>496.56419524569026</c:v>
                </c:pt>
                <c:pt idx="935">
                  <c:v>493.05172142484201</c:v>
                </c:pt>
                <c:pt idx="936">
                  <c:v>489.50587330490737</c:v>
                </c:pt>
                <c:pt idx="937">
                  <c:v>485.92592028003611</c:v>
                </c:pt>
                <c:pt idx="938">
                  <c:v>482.31110292009657</c:v>
                </c:pt>
                <c:pt idx="939">
                  <c:v>478.66063134542412</c:v>
                </c:pt>
                <c:pt idx="940">
                  <c:v>474.97368348151667</c:v>
                </c:pt>
                <c:pt idx="941">
                  <c:v>471.24940318264595</c:v>
                </c:pt>
                <c:pt idx="942">
                  <c:v>467.48689821213173</c:v>
                </c:pt>
                <c:pt idx="943">
                  <c:v>463.68523806565162</c:v>
                </c:pt>
                <c:pt idx="944">
                  <c:v>459.84345162239725</c:v>
                </c:pt>
                <c:pt idx="945">
                  <c:v>455.96052460711991</c:v>
                </c:pt>
                <c:pt idx="946">
                  <c:v>452.03539684409674</c:v>
                </c:pt>
                <c:pt idx="947">
                  <c:v>448.06695928175736</c:v>
                </c:pt>
                <c:pt idx="948">
                  <c:v>444.05405076409335</c:v>
                </c:pt>
                <c:pt idx="949">
                  <c:v>439.99545452197572</c:v>
                </c:pt>
                <c:pt idx="950">
                  <c:v>435.88989435406734</c:v>
                </c:pt>
                <c:pt idx="951">
                  <c:v>431.73603046305971</c:v>
                </c:pt>
                <c:pt idx="952">
                  <c:v>427.5324549083964</c:v>
                </c:pt>
                <c:pt idx="953">
                  <c:v>423.27768663136499</c:v>
                </c:pt>
                <c:pt idx="954">
                  <c:v>418.9701660023062</c:v>
                </c:pt>
                <c:pt idx="955">
                  <c:v>414.60824883255759</c:v>
                </c:pt>
                <c:pt idx="956">
                  <c:v>410.19019978541661</c:v>
                </c:pt>
                <c:pt idx="957">
                  <c:v>405.7141851106515</c:v>
                </c:pt>
                <c:pt idx="958">
                  <c:v>401.17826461561947</c:v>
                </c:pt>
                <c:pt idx="959">
                  <c:v>396.58038277252194</c:v>
                </c:pt>
                <c:pt idx="960">
                  <c:v>391.91835884530849</c:v>
                </c:pt>
                <c:pt idx="961">
                  <c:v>387.18987590070071</c:v>
                </c:pt>
                <c:pt idx="962">
                  <c:v>382.39246854508002</c:v>
                </c:pt>
                <c:pt idx="963">
                  <c:v>377.52350920174496</c:v>
                </c:pt>
                <c:pt idx="964">
                  <c:v>372.58019271024057</c:v>
                </c:pt>
                <c:pt idx="965">
                  <c:v>367.55951898978213</c:v>
                </c:pt>
                <c:pt idx="966">
                  <c:v>362.45827346054608</c:v>
                </c:pt>
                <c:pt idx="967">
                  <c:v>357.27300485762987</c:v>
                </c:pt>
                <c:pt idx="968">
                  <c:v>352</c:v>
                </c:pt>
                <c:pt idx="969">
                  <c:v>346.63525498714063</c:v>
                </c:pt>
                <c:pt idx="970">
                  <c:v>341.17444218463959</c:v>
                </c:pt>
                <c:pt idx="971">
                  <c:v>335.61287222036049</c:v>
                </c:pt>
                <c:pt idx="972">
                  <c:v>329.94545003682049</c:v>
                </c:pt>
                <c:pt idx="973">
                  <c:v>324.16662382176236</c:v>
                </c:pt>
                <c:pt idx="974">
                  <c:v>318.2703253525217</c:v>
                </c:pt>
                <c:pt idx="975">
                  <c:v>312.24989991991993</c:v>
                </c:pt>
                <c:pt idx="976">
                  <c:v>306.09802351534387</c:v>
                </c:pt>
                <c:pt idx="977">
                  <c:v>299.80660433019148</c:v>
                </c:pt>
                <c:pt idx="978">
                  <c:v>293.36666477294244</c:v>
                </c:pt>
                <c:pt idx="979">
                  <c:v>286.76819907374664</c:v>
                </c:pt>
                <c:pt idx="980">
                  <c:v>280</c:v>
                </c:pt>
                <c:pt idx="981">
                  <c:v>273.04944607158609</c:v>
                </c:pt>
                <c:pt idx="982">
                  <c:v>265.90223767392405</c:v>
                </c:pt>
                <c:pt idx="983">
                  <c:v>258.54206620973696</c:v>
                </c:pt>
                <c:pt idx="984">
                  <c:v>250.95019426172996</c:v>
                </c:pt>
                <c:pt idx="985">
                  <c:v>243.10491562286435</c:v>
                </c:pt>
                <c:pt idx="986">
                  <c:v>234.98085028359225</c:v>
                </c:pt>
                <c:pt idx="987">
                  <c:v>226.54800815721157</c:v>
                </c:pt>
                <c:pt idx="988">
                  <c:v>217.77052142105919</c:v>
                </c:pt>
                <c:pt idx="989">
                  <c:v>208.60488968382307</c:v>
                </c:pt>
                <c:pt idx="990">
                  <c:v>198.997487421324</c:v>
                </c:pt>
                <c:pt idx="991">
                  <c:v>188.88091486436633</c:v>
                </c:pt>
                <c:pt idx="992">
                  <c:v>178.16845961056069</c:v>
                </c:pt>
                <c:pt idx="993">
                  <c:v>166.74531477675768</c:v>
                </c:pt>
                <c:pt idx="994">
                  <c:v>154.45387661046257</c:v>
                </c:pt>
                <c:pt idx="995">
                  <c:v>141.06735979665885</c:v>
                </c:pt>
                <c:pt idx="996">
                  <c:v>126.23787070447599</c:v>
                </c:pt>
                <c:pt idx="997">
                  <c:v>109.38007131100254</c:v>
                </c:pt>
                <c:pt idx="998">
                  <c:v>89.353231614754705</c:v>
                </c:pt>
                <c:pt idx="999">
                  <c:v>63.21392251711643</c:v>
                </c:pt>
                <c:pt idx="1000">
                  <c:v>0</c:v>
                </c:pt>
              </c:numCache>
            </c:numRef>
          </c:xVal>
          <c:yVal>
            <c:numRef>
              <c:f>Kruh!$J$3:$J$1003</c:f>
              <c:numCache>
                <c:formatCode>General</c:formatCode>
                <c:ptCount val="10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  <c:pt idx="1000">
                  <c:v>2000</c:v>
                </c:pt>
              </c:numCache>
            </c:numRef>
          </c:yVal>
          <c:smooth val="0"/>
        </c:ser>
        <c:ser>
          <c:idx val="2"/>
          <c:order val="2"/>
          <c:tx>
            <c:v>Hladina</c:v>
          </c:tx>
          <c:marker>
            <c:symbol val="none"/>
          </c:marker>
          <c:xVal>
            <c:numRef>
              <c:f>Kruh!$AA$3:$AA$5</c:f>
              <c:numCache>
                <c:formatCode>General</c:formatCode>
                <c:ptCount val="3"/>
                <c:pt idx="0">
                  <c:v>-1000</c:v>
                </c:pt>
                <c:pt idx="1">
                  <c:v>0</c:v>
                </c:pt>
                <c:pt idx="2">
                  <c:v>1000</c:v>
                </c:pt>
              </c:numCache>
            </c:numRef>
          </c:xVal>
          <c:yVal>
            <c:numRef>
              <c:f>Kruh!$AB$3:$AB$5</c:f>
              <c:numCache>
                <c:formatCode>#,##0</c:formatCode>
                <c:ptCount val="3"/>
                <c:pt idx="0">
                  <c:v>30</c:v>
                </c:pt>
                <c:pt idx="1">
                  <c:v>30</c:v>
                </c:pt>
                <c:pt idx="2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90304"/>
        <c:axId val="167945344"/>
      </c:scatterChart>
      <c:valAx>
        <c:axId val="167890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945344"/>
        <c:crosses val="autoZero"/>
        <c:crossBetween val="midCat"/>
      </c:valAx>
      <c:valAx>
        <c:axId val="167945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89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Profil!$A$1</c:f>
          <c:strCache>
            <c:ptCount val="1"/>
            <c:pt idx="0">
              <c:v>Průtočná plocha profilu je 3141487 mm2
v hladině h = 110 mm je průtočná plocha profilu 67595 mm2</c:v>
            </c:pt>
          </c:strCache>
        </c:strRef>
      </c:tx>
      <c:layout>
        <c:manualLayout>
          <c:xMode val="edge"/>
          <c:yMode val="edge"/>
          <c:x val="0.1501271012710127"/>
          <c:y val="4.0374232619901029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Zaloha_L</c:v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Profil!$K$3:$K$1002</c:f>
              <c:numCache>
                <c:formatCode>General</c:formatCode>
                <c:ptCount val="1000"/>
                <c:pt idx="0">
                  <c:v>0</c:v>
                </c:pt>
                <c:pt idx="1">
                  <c:v>-63.21392251711643</c:v>
                </c:pt>
                <c:pt idx="2">
                  <c:v>-89.353231614754705</c:v>
                </c:pt>
                <c:pt idx="3">
                  <c:v>-109.38007131100254</c:v>
                </c:pt>
                <c:pt idx="4">
                  <c:v>-126.23787070447599</c:v>
                </c:pt>
                <c:pt idx="5">
                  <c:v>-141.06735979665885</c:v>
                </c:pt>
                <c:pt idx="6">
                  <c:v>-154.45387661046257</c:v>
                </c:pt>
                <c:pt idx="7">
                  <c:v>-166.74531477675768</c:v>
                </c:pt>
                <c:pt idx="8">
                  <c:v>-178.16845961056069</c:v>
                </c:pt>
                <c:pt idx="9">
                  <c:v>-188.88091486436633</c:v>
                </c:pt>
                <c:pt idx="10">
                  <c:v>-198.997487421324</c:v>
                </c:pt>
                <c:pt idx="11">
                  <c:v>-208.60488968382307</c:v>
                </c:pt>
                <c:pt idx="12">
                  <c:v>-217.77052142105919</c:v>
                </c:pt>
                <c:pt idx="13">
                  <c:v>-226.54800815721157</c:v>
                </c:pt>
                <c:pt idx="14">
                  <c:v>-234.98085028359225</c:v>
                </c:pt>
                <c:pt idx="15">
                  <c:v>-243.10491562286435</c:v>
                </c:pt>
                <c:pt idx="16">
                  <c:v>-250.95019426172996</c:v>
                </c:pt>
                <c:pt idx="17">
                  <c:v>-258.54206620973696</c:v>
                </c:pt>
                <c:pt idx="18">
                  <c:v>-265.90223767392405</c:v>
                </c:pt>
                <c:pt idx="19">
                  <c:v>-273.04944607158609</c:v>
                </c:pt>
                <c:pt idx="20">
                  <c:v>-280</c:v>
                </c:pt>
                <c:pt idx="21">
                  <c:v>-286.76819907374664</c:v>
                </c:pt>
                <c:pt idx="22">
                  <c:v>-293.36666477294244</c:v>
                </c:pt>
                <c:pt idx="23">
                  <c:v>-299.80660433019148</c:v>
                </c:pt>
                <c:pt idx="24">
                  <c:v>-306.09802351534387</c:v>
                </c:pt>
                <c:pt idx="25">
                  <c:v>-312.24989991991993</c:v>
                </c:pt>
                <c:pt idx="26">
                  <c:v>-318.2703253525217</c:v>
                </c:pt>
                <c:pt idx="27">
                  <c:v>-324.16662382176236</c:v>
                </c:pt>
                <c:pt idx="28">
                  <c:v>-329.94545003682049</c:v>
                </c:pt>
                <c:pt idx="29">
                  <c:v>-335.61287222036049</c:v>
                </c:pt>
                <c:pt idx="30">
                  <c:v>-341.17444218463959</c:v>
                </c:pt>
                <c:pt idx="31">
                  <c:v>-346.63525498714063</c:v>
                </c:pt>
                <c:pt idx="32">
                  <c:v>-352</c:v>
                </c:pt>
                <c:pt idx="33">
                  <c:v>-357.27300485762987</c:v>
                </c:pt>
                <c:pt idx="34">
                  <c:v>-362.45827346054608</c:v>
                </c:pt>
                <c:pt idx="35">
                  <c:v>-367.55951898978213</c:v>
                </c:pt>
                <c:pt idx="36">
                  <c:v>-372.58019271024057</c:v>
                </c:pt>
                <c:pt idx="37">
                  <c:v>-377.52350920174496</c:v>
                </c:pt>
                <c:pt idx="38">
                  <c:v>-382.39246854508002</c:v>
                </c:pt>
                <c:pt idx="39">
                  <c:v>-387.18987590070071</c:v>
                </c:pt>
                <c:pt idx="40">
                  <c:v>-391.91835884530849</c:v>
                </c:pt>
                <c:pt idx="41">
                  <c:v>-396.58038277252194</c:v>
                </c:pt>
                <c:pt idx="42">
                  <c:v>-401.17826461561947</c:v>
                </c:pt>
                <c:pt idx="43">
                  <c:v>-405.7141851106515</c:v>
                </c:pt>
                <c:pt idx="44">
                  <c:v>-410.19019978541661</c:v>
                </c:pt>
                <c:pt idx="45">
                  <c:v>-414.60824883255759</c:v>
                </c:pt>
                <c:pt idx="46">
                  <c:v>-418.9701660023062</c:v>
                </c:pt>
                <c:pt idx="47">
                  <c:v>-423.27768663136499</c:v>
                </c:pt>
                <c:pt idx="48">
                  <c:v>-427.5324549083964</c:v>
                </c:pt>
                <c:pt idx="49">
                  <c:v>-431.73603046305971</c:v>
                </c:pt>
                <c:pt idx="50">
                  <c:v>-435.88989435406734</c:v>
                </c:pt>
                <c:pt idx="51">
                  <c:v>-439.99545452197572</c:v>
                </c:pt>
                <c:pt idx="52">
                  <c:v>-444.05405076409335</c:v>
                </c:pt>
                <c:pt idx="53">
                  <c:v>-448.06695928175736</c:v>
                </c:pt>
                <c:pt idx="54">
                  <c:v>-452.03539684409674</c:v>
                </c:pt>
                <c:pt idx="55">
                  <c:v>-455.96052460711991</c:v>
                </c:pt>
                <c:pt idx="56">
                  <c:v>-459.84345162239725</c:v>
                </c:pt>
                <c:pt idx="57">
                  <c:v>-463.68523806565162</c:v>
                </c:pt>
                <c:pt idx="58">
                  <c:v>-467.48689821213173</c:v>
                </c:pt>
                <c:pt idx="59">
                  <c:v>-471.24940318264595</c:v>
                </c:pt>
                <c:pt idx="60">
                  <c:v>-474.97368348151667</c:v>
                </c:pt>
                <c:pt idx="61">
                  <c:v>-478.66063134542412</c:v>
                </c:pt>
                <c:pt idx="62">
                  <c:v>-482.31110292009657</c:v>
                </c:pt>
                <c:pt idx="63">
                  <c:v>-485.92592028003611</c:v>
                </c:pt>
                <c:pt idx="64">
                  <c:v>-489.50587330490737</c:v>
                </c:pt>
                <c:pt idx="65">
                  <c:v>-493.05172142484201</c:v>
                </c:pt>
                <c:pt idx="66">
                  <c:v>-496.56419524569026</c:v>
                </c:pt>
                <c:pt idx="67">
                  <c:v>-500.04399806417035</c:v>
                </c:pt>
                <c:pt idx="68">
                  <c:v>-503.49180728190601</c:v>
                </c:pt>
                <c:pt idx="69">
                  <c:v>-506.90827572648681</c:v>
                </c:pt>
                <c:pt idx="70">
                  <c:v>-510.29403288692293</c:v>
                </c:pt>
                <c:pt idx="71">
                  <c:v>-513.64968607018534</c:v>
                </c:pt>
                <c:pt idx="72">
                  <c:v>-516.97582148491233</c:v>
                </c:pt>
                <c:pt idx="73">
                  <c:v>-520.27300525781652</c:v>
                </c:pt>
                <c:pt idx="74">
                  <c:v>-523.54178438783663</c:v>
                </c:pt>
                <c:pt idx="75">
                  <c:v>-526.78268764263692</c:v>
                </c:pt>
                <c:pt idx="76">
                  <c:v>-529.99622640166035</c:v>
                </c:pt>
                <c:pt idx="77">
                  <c:v>-533.18289544958213</c:v>
                </c:pt>
                <c:pt idx="78">
                  <c:v>-536.34317372368969</c:v>
                </c:pt>
                <c:pt idx="79">
                  <c:v>-539.47752501842001</c:v>
                </c:pt>
                <c:pt idx="80">
                  <c:v>-542.58639865002147</c:v>
                </c:pt>
                <c:pt idx="81">
                  <c:v>-545.67023008406829</c:v>
                </c:pt>
                <c:pt idx="82">
                  <c:v>-548.72944152833645</c:v>
                </c:pt>
                <c:pt idx="83">
                  <c:v>-551.76444249335236</c:v>
                </c:pt>
                <c:pt idx="84">
                  <c:v>-554.77563032274588</c:v>
                </c:pt>
                <c:pt idx="85">
                  <c:v>-557.76339069537357</c:v>
                </c:pt>
                <c:pt idx="86">
                  <c:v>-560.72809810103149</c:v>
                </c:pt>
                <c:pt idx="87">
                  <c:v>-563.67011629143508</c:v>
                </c:pt>
                <c:pt idx="88">
                  <c:v>-566.58979870802477</c:v>
                </c:pt>
                <c:pt idx="89">
                  <c:v>-569.48748888803516</c:v>
                </c:pt>
                <c:pt idx="90">
                  <c:v>-572.36352085016733</c:v>
                </c:pt>
                <c:pt idx="91">
                  <c:v>-575.21821946110151</c:v>
                </c:pt>
                <c:pt idx="92">
                  <c:v>-578.05190078400403</c:v>
                </c:pt>
                <c:pt idx="93">
                  <c:v>-580.86487241009854</c:v>
                </c:pt>
                <c:pt idx="94">
                  <c:v>-583.65743377429885</c:v>
                </c:pt>
                <c:pt idx="95">
                  <c:v>-586.42987645582991</c:v>
                </c:pt>
                <c:pt idx="96">
                  <c:v>-589.18248446470295</c:v>
                </c:pt>
                <c:pt idx="97">
                  <c:v>-591.91553451484947</c:v>
                </c:pt>
                <c:pt idx="98">
                  <c:v>-594.62929628466838</c:v>
                </c:pt>
                <c:pt idx="99">
                  <c:v>-597.32403266568804</c:v>
                </c:pt>
                <c:pt idx="100">
                  <c:v>-600</c:v>
                </c:pt>
                <c:pt idx="101">
                  <c:v>-602.65744830707933</c:v>
                </c:pt>
                <c:pt idx="102">
                  <c:v>-605.2966215005664</c:v>
                </c:pt>
                <c:pt idx="103">
                  <c:v>-607.91775759554844</c:v>
                </c:pt>
                <c:pt idx="104">
                  <c:v>-610.52108890684519</c:v>
                </c:pt>
                <c:pt idx="105">
                  <c:v>-613.10684223877331</c:v>
                </c:pt>
                <c:pt idx="106">
                  <c:v>-615.67523906683141</c:v>
                </c:pt>
                <c:pt idx="107">
                  <c:v>-618.22649571172542</c:v>
                </c:pt>
                <c:pt idx="108">
                  <c:v>-620.76082350612296</c:v>
                </c:pt>
                <c:pt idx="109">
                  <c:v>-623.27842895450829</c:v>
                </c:pt>
                <c:pt idx="110">
                  <c:v>-625.77951388648057</c:v>
                </c:pt>
                <c:pt idx="111">
                  <c:v>-628.26427560382581</c:v>
                </c:pt>
                <c:pt idx="112">
                  <c:v>-630.7329070216648</c:v>
                </c:pt>
                <c:pt idx="113">
                  <c:v>-633.18559680397027</c:v>
                </c:pt>
                <c:pt idx="114">
                  <c:v>-635.62252949372396</c:v>
                </c:pt>
                <c:pt idx="115">
                  <c:v>-638.04388563797079</c:v>
                </c:pt>
                <c:pt idx="116">
                  <c:v>-640.44984190801392</c:v>
                </c:pt>
                <c:pt idx="117">
                  <c:v>-642.84057121497858</c:v>
                </c:pt>
                <c:pt idx="118">
                  <c:v>-645.21624282096309</c:v>
                </c:pt>
                <c:pt idx="119">
                  <c:v>-647.57702244597897</c:v>
                </c:pt>
                <c:pt idx="120">
                  <c:v>-649.92307237087687</c:v>
                </c:pt>
                <c:pt idx="121">
                  <c:v>-652.25455153643816</c:v>
                </c:pt>
                <c:pt idx="122">
                  <c:v>-654.57161563880845</c:v>
                </c:pt>
                <c:pt idx="123">
                  <c:v>-656.87441722143512</c:v>
                </c:pt>
                <c:pt idx="124">
                  <c:v>-659.16310576366459</c:v>
                </c:pt>
                <c:pt idx="125">
                  <c:v>-661.43782776614762</c:v>
                </c:pt>
                <c:pt idx="126">
                  <c:v>-663.69872683319204</c:v>
                </c:pt>
                <c:pt idx="127">
                  <c:v>-665.94594375219378</c:v>
                </c:pt>
                <c:pt idx="128">
                  <c:v>-668.17961657027524</c:v>
                </c:pt>
                <c:pt idx="129">
                  <c:v>-670.39988066824719</c:v>
                </c:pt>
                <c:pt idx="130">
                  <c:v>-672.60686883200947</c:v>
                </c:pt>
                <c:pt idx="131">
                  <c:v>-674.80071132149828</c:v>
                </c:pt>
                <c:pt idx="132">
                  <c:v>-676.98153593728091</c:v>
                </c:pt>
                <c:pt idx="133">
                  <c:v>-679.1494680848981</c:v>
                </c:pt>
                <c:pt idx="134">
                  <c:v>-681.30463083704342</c:v>
                </c:pt>
                <c:pt idx="135">
                  <c:v>-683.44714499367103</c:v>
                </c:pt>
                <c:pt idx="136">
                  <c:v>-685.57712914011358</c:v>
                </c:pt>
                <c:pt idx="137">
                  <c:v>-687.69469970329135</c:v>
                </c:pt>
                <c:pt idx="138">
                  <c:v>-689.79997100608807</c:v>
                </c:pt>
                <c:pt idx="139">
                  <c:v>-691.89305531996774</c:v>
                </c:pt>
                <c:pt idx="140">
                  <c:v>-693.97406291589891</c:v>
                </c:pt>
                <c:pt idx="141">
                  <c:v>-696.04310211365498</c:v>
                </c:pt>
                <c:pt idx="142">
                  <c:v>-698.10027932955302</c:v>
                </c:pt>
                <c:pt idx="143">
                  <c:v>-700.14569912268973</c:v>
                </c:pt>
                <c:pt idx="144">
                  <c:v>-702.1794642397341</c:v>
                </c:pt>
                <c:pt idx="145">
                  <c:v>-704.20167565833015</c:v>
                </c:pt>
                <c:pt idx="146">
                  <c:v>-706.21243262916289</c:v>
                </c:pt>
                <c:pt idx="147">
                  <c:v>-708.21183271673738</c:v>
                </c:pt>
                <c:pt idx="148">
                  <c:v>-710.19997183891803</c:v>
                </c:pt>
                <c:pt idx="149">
                  <c:v>-712.17694430527581</c:v>
                </c:pt>
                <c:pt idx="150">
                  <c:v>-714.14284285428505</c:v>
                </c:pt>
                <c:pt idx="151">
                  <c:v>-716.09775868941244</c:v>
                </c:pt>
                <c:pt idx="152">
                  <c:v>-718.04178151413998</c:v>
                </c:pt>
                <c:pt idx="153">
                  <c:v>-719.97499956595721</c:v>
                </c:pt>
                <c:pt idx="154">
                  <c:v>-721.89749964936163</c:v>
                </c:pt>
                <c:pt idx="155">
                  <c:v>-723.80936716790291</c:v>
                </c:pt>
                <c:pt idx="156">
                  <c:v>-725.71068615530248</c:v>
                </c:pt>
                <c:pt idx="157">
                  <c:v>-727.60153930568345</c:v>
                </c:pt>
                <c:pt idx="158">
                  <c:v>-729.48200800293898</c:v>
                </c:pt>
                <c:pt idx="159">
                  <c:v>-731.35217234927256</c:v>
                </c:pt>
                <c:pt idx="160">
                  <c:v>-733.21211119293434</c:v>
                </c:pt>
                <c:pt idx="161">
                  <c:v>-735.06190215518586</c:v>
                </c:pt>
                <c:pt idx="162">
                  <c:v>-736.90162165651395</c:v>
                </c:pt>
                <c:pt idx="163">
                  <c:v>-738.73134494212445</c:v>
                </c:pt>
                <c:pt idx="164">
                  <c:v>-740.55114610673581</c:v>
                </c:pt>
                <c:pt idx="165">
                  <c:v>-742.36109811869858</c:v>
                </c:pt>
                <c:pt idx="166">
                  <c:v>-744.16127284346101</c:v>
                </c:pt>
                <c:pt idx="167">
                  <c:v>-745.95174106640434</c:v>
                </c:pt>
                <c:pt idx="168">
                  <c:v>-747.73257251506709</c:v>
                </c:pt>
                <c:pt idx="169">
                  <c:v>-749.50383588077784</c:v>
                </c:pt>
                <c:pt idx="170">
                  <c:v>-751.26559883971788</c:v>
                </c:pt>
                <c:pt idx="171">
                  <c:v>-753.01792807342906</c:v>
                </c:pt>
                <c:pt idx="172">
                  <c:v>-754.76088928878664</c:v>
                </c:pt>
                <c:pt idx="173">
                  <c:v>-756.49454723745362</c:v>
                </c:pt>
                <c:pt idx="174">
                  <c:v>-758.21896573483309</c:v>
                </c:pt>
                <c:pt idx="175">
                  <c:v>-759.9342076785332</c:v>
                </c:pt>
                <c:pt idx="176">
                  <c:v>-761.6403350663619</c:v>
                </c:pt>
                <c:pt idx="177">
                  <c:v>-763.33740901386454</c:v>
                </c:pt>
                <c:pt idx="178">
                  <c:v>-765.0254897714193</c:v>
                </c:pt>
                <c:pt idx="179">
                  <c:v>-766.70463674090297</c:v>
                </c:pt>
                <c:pt idx="180">
                  <c:v>-768.37490849194182</c:v>
                </c:pt>
                <c:pt idx="181">
                  <c:v>-770.03636277775865</c:v>
                </c:pt>
                <c:pt idx="182">
                  <c:v>-771.68905655062906</c:v>
                </c:pt>
                <c:pt idx="183">
                  <c:v>-773.33304597695815</c:v>
                </c:pt>
                <c:pt idx="184">
                  <c:v>-774.96838645198943</c:v>
                </c:pt>
                <c:pt idx="185">
                  <c:v>-776.59513261415691</c:v>
                </c:pt>
                <c:pt idx="186">
                  <c:v>-778.21333835909036</c:v>
                </c:pt>
                <c:pt idx="187">
                  <c:v>-779.8230568532839</c:v>
                </c:pt>
                <c:pt idx="188">
                  <c:v>-781.4243405474391</c:v>
                </c:pt>
                <c:pt idx="189">
                  <c:v>-783.01724118949005</c:v>
                </c:pt>
                <c:pt idx="190">
                  <c:v>-784.60180983732118</c:v>
                </c:pt>
                <c:pt idx="191">
                  <c:v>-786.17809687118609</c:v>
                </c:pt>
                <c:pt idx="192">
                  <c:v>-787.74615200583492</c:v>
                </c:pt>
                <c:pt idx="193">
                  <c:v>-789.30602430236149</c:v>
                </c:pt>
                <c:pt idx="194">
                  <c:v>-790.857762179774</c:v>
                </c:pt>
                <c:pt idx="195">
                  <c:v>-792.40141342630125</c:v>
                </c:pt>
                <c:pt idx="196">
                  <c:v>-793.93702521043826</c:v>
                </c:pt>
                <c:pt idx="197">
                  <c:v>-795.46464409174087</c:v>
                </c:pt>
                <c:pt idx="198">
                  <c:v>-796.9843160313759</c:v>
                </c:pt>
                <c:pt idx="199">
                  <c:v>-798.49608640243196</c:v>
                </c:pt>
                <c:pt idx="200">
                  <c:v>-800</c:v>
                </c:pt>
                <c:pt idx="201">
                  <c:v>-801.49610105102818</c:v>
                </c:pt>
                <c:pt idx="202">
                  <c:v>-802.98443322395735</c:v>
                </c:pt>
                <c:pt idx="203">
                  <c:v>-804.46503963814359</c:v>
                </c:pt>
                <c:pt idx="204">
                  <c:v>-805.93796287307373</c:v>
                </c:pt>
                <c:pt idx="205">
                  <c:v>-807.40324497737811</c:v>
                </c:pt>
                <c:pt idx="206">
                  <c:v>-808.86092747764746</c:v>
                </c:pt>
                <c:pt idx="207">
                  <c:v>-810.31105138705846</c:v>
                </c:pt>
                <c:pt idx="208">
                  <c:v>-811.75365721381263</c:v>
                </c:pt>
                <c:pt idx="209">
                  <c:v>-813.18878496939442</c:v>
                </c:pt>
                <c:pt idx="210">
                  <c:v>-814.61647417665199</c:v>
                </c:pt>
                <c:pt idx="211">
                  <c:v>-816.03676387770668</c:v>
                </c:pt>
                <c:pt idx="212">
                  <c:v>-817.44969264169401</c:v>
                </c:pt>
                <c:pt idx="213">
                  <c:v>-818.85529857234235</c:v>
                </c:pt>
                <c:pt idx="214">
                  <c:v>-820.25361931539203</c:v>
                </c:pt>
                <c:pt idx="215">
                  <c:v>-821.64469206585886</c:v>
                </c:pt>
                <c:pt idx="216">
                  <c:v>-823.02855357514784</c:v>
                </c:pt>
                <c:pt idx="217">
                  <c:v>-824.40524015801839</c:v>
                </c:pt>
                <c:pt idx="218">
                  <c:v>-825.7747876994066</c:v>
                </c:pt>
                <c:pt idx="219">
                  <c:v>-827.13723166110708</c:v>
                </c:pt>
                <c:pt idx="220">
                  <c:v>-828.49260708831912</c:v>
                </c:pt>
                <c:pt idx="221">
                  <c:v>-829.84094861605854</c:v>
                </c:pt>
                <c:pt idx="222">
                  <c:v>-831.18229047544082</c:v>
                </c:pt>
                <c:pt idx="223">
                  <c:v>-832.51666649983656</c:v>
                </c:pt>
                <c:pt idx="224">
                  <c:v>-833.84411013090448</c:v>
                </c:pt>
                <c:pt idx="225">
                  <c:v>-835.16465442450328</c:v>
                </c:pt>
                <c:pt idx="226">
                  <c:v>-836.47833205648544</c:v>
                </c:pt>
                <c:pt idx="227">
                  <c:v>-837.78517532837736</c:v>
                </c:pt>
                <c:pt idx="228">
                  <c:v>-839.08521617294628</c:v>
                </c:pt>
                <c:pt idx="229">
                  <c:v>-840.37848615965891</c:v>
                </c:pt>
                <c:pt idx="230">
                  <c:v>-841.66501650003249</c:v>
                </c:pt>
                <c:pt idx="231">
                  <c:v>-842.94483805288235</c:v>
                </c:pt>
                <c:pt idx="232">
                  <c:v>-844.21798132946685</c:v>
                </c:pt>
                <c:pt idx="233">
                  <c:v>-845.48447649853392</c:v>
                </c:pt>
                <c:pt idx="234">
                  <c:v>-846.74435339127001</c:v>
                </c:pt>
                <c:pt idx="235">
                  <c:v>-847.9976415061542</c:v>
                </c:pt>
                <c:pt idx="236">
                  <c:v>-849.24437001371996</c:v>
                </c:pt>
                <c:pt idx="237">
                  <c:v>-850.48456776122634</c:v>
                </c:pt>
                <c:pt idx="238">
                  <c:v>-851.71826327724125</c:v>
                </c:pt>
                <c:pt idx="239">
                  <c:v>-852.94548477613739</c:v>
                </c:pt>
                <c:pt idx="240">
                  <c:v>-854.16626016250484</c:v>
                </c:pt>
                <c:pt idx="241">
                  <c:v>-855.3806170354809</c:v>
                </c:pt>
                <c:pt idx="242">
                  <c:v>-856.58858269299856</c:v>
                </c:pt>
                <c:pt idx="243">
                  <c:v>-857.79018413595759</c:v>
                </c:pt>
                <c:pt idx="244">
                  <c:v>-858.98544807231747</c:v>
                </c:pt>
                <c:pt idx="245">
                  <c:v>-860.17440092111553</c:v>
                </c:pt>
                <c:pt idx="246">
                  <c:v>-861.35706881641136</c:v>
                </c:pt>
                <c:pt idx="247">
                  <c:v>-862.53347761115913</c:v>
                </c:pt>
                <c:pt idx="248">
                  <c:v>-863.70365288100993</c:v>
                </c:pt>
                <c:pt idx="249">
                  <c:v>-864.86761992804429</c:v>
                </c:pt>
                <c:pt idx="250">
                  <c:v>-866.02540378443859</c:v>
                </c:pt>
                <c:pt idx="251">
                  <c:v>-867.17702921606497</c:v>
                </c:pt>
                <c:pt idx="252">
                  <c:v>-868.32252072602614</c:v>
                </c:pt>
                <c:pt idx="253">
                  <c:v>-869.46190255812814</c:v>
                </c:pt>
                <c:pt idx="254">
                  <c:v>-870.59519870029146</c:v>
                </c:pt>
                <c:pt idx="255">
                  <c:v>-871.72243288790037</c:v>
                </c:pt>
                <c:pt idx="256">
                  <c:v>-872.84362860709473</c:v>
                </c:pt>
                <c:pt idx="257">
                  <c:v>-873.95880909800314</c:v>
                </c:pt>
                <c:pt idx="258">
                  <c:v>-875.06799735791958</c:v>
                </c:pt>
                <c:pt idx="259">
                  <c:v>-876.17121614442465</c:v>
                </c:pt>
                <c:pt idx="260">
                  <c:v>-877.2684879784523</c:v>
                </c:pt>
                <c:pt idx="261">
                  <c:v>-878.35983514730458</c:v>
                </c:pt>
                <c:pt idx="262">
                  <c:v>-879.44527970761203</c:v>
                </c:pt>
                <c:pt idx="263">
                  <c:v>-880.52484348824589</c:v>
                </c:pt>
                <c:pt idx="264">
                  <c:v>-881.59854809317824</c:v>
                </c:pt>
                <c:pt idx="265">
                  <c:v>-882.66641490429436</c:v>
                </c:pt>
                <c:pt idx="266">
                  <c:v>-883.72846508415694</c:v>
                </c:pt>
                <c:pt idx="267">
                  <c:v>-884.7847195787233</c:v>
                </c:pt>
                <c:pt idx="268">
                  <c:v>-885.83519912001691</c:v>
                </c:pt>
                <c:pt idx="269">
                  <c:v>-886.87992422875379</c:v>
                </c:pt>
                <c:pt idx="270">
                  <c:v>-887.91891521692457</c:v>
                </c:pt>
                <c:pt idx="271">
                  <c:v>-888.95219219033368</c:v>
                </c:pt>
                <c:pt idx="272">
                  <c:v>-889.97977505109634</c:v>
                </c:pt>
                <c:pt idx="273">
                  <c:v>-891.00168350009301</c:v>
                </c:pt>
                <c:pt idx="274">
                  <c:v>-892.01793703938483</c:v>
                </c:pt>
                <c:pt idx="275">
                  <c:v>-893.02855497458756</c:v>
                </c:pt>
                <c:pt idx="276">
                  <c:v>-894.03355641720736</c:v>
                </c:pt>
                <c:pt idx="277">
                  <c:v>-895.03296028693831</c:v>
                </c:pt>
                <c:pt idx="278">
                  <c:v>-896.02678531392132</c:v>
                </c:pt>
                <c:pt idx="279">
                  <c:v>-897.01505004096782</c:v>
                </c:pt>
                <c:pt idx="280">
                  <c:v>-897.99777282574598</c:v>
                </c:pt>
                <c:pt idx="281">
                  <c:v>-898.97497184293184</c:v>
                </c:pt>
                <c:pt idx="282">
                  <c:v>-899.94666508632611</c:v>
                </c:pt>
                <c:pt idx="283">
                  <c:v>-900.91287037093662</c:v>
                </c:pt>
                <c:pt idx="284">
                  <c:v>-901.87360533502692</c:v>
                </c:pt>
                <c:pt idx="285">
                  <c:v>-902.82888744213324</c:v>
                </c:pt>
                <c:pt idx="286">
                  <c:v>-903.77873398304746</c:v>
                </c:pt>
                <c:pt idx="287">
                  <c:v>-904.72316207777067</c:v>
                </c:pt>
                <c:pt idx="288">
                  <c:v>-905.66218867743396</c:v>
                </c:pt>
                <c:pt idx="289">
                  <c:v>-906.5958305661901</c:v>
                </c:pt>
                <c:pt idx="290">
                  <c:v>-907.52410436307423</c:v>
                </c:pt>
                <c:pt idx="291">
                  <c:v>-908.44702652383648</c:v>
                </c:pt>
                <c:pt idx="292">
                  <c:v>-909.36461334274497</c:v>
                </c:pt>
                <c:pt idx="293">
                  <c:v>-910.2768809543611</c:v>
                </c:pt>
                <c:pt idx="294">
                  <c:v>-911.18384533528683</c:v>
                </c:pt>
                <c:pt idx="295">
                  <c:v>-912.08552230588555</c:v>
                </c:pt>
                <c:pt idx="296">
                  <c:v>-912.98192753197475</c:v>
                </c:pt>
                <c:pt idx="297">
                  <c:v>-913.87307652649451</c:v>
                </c:pt>
                <c:pt idx="298">
                  <c:v>-914.75898465114847</c:v>
                </c:pt>
                <c:pt idx="299">
                  <c:v>-915.63966711802084</c:v>
                </c:pt>
                <c:pt idx="300">
                  <c:v>-916.51513899116799</c:v>
                </c:pt>
                <c:pt idx="301">
                  <c:v>-917.38541518818579</c:v>
                </c:pt>
                <c:pt idx="302">
                  <c:v>-918.25051048175305</c:v>
                </c:pt>
                <c:pt idx="303">
                  <c:v>-919.11043950115152</c:v>
                </c:pt>
                <c:pt idx="304">
                  <c:v>-919.96521673376321</c:v>
                </c:pt>
                <c:pt idx="305">
                  <c:v>-920.81485652654408</c:v>
                </c:pt>
                <c:pt idx="306">
                  <c:v>-921.65937308747641</c:v>
                </c:pt>
                <c:pt idx="307">
                  <c:v>-922.49878048699884</c:v>
                </c:pt>
                <c:pt idx="308">
                  <c:v>-923.33309265941512</c:v>
                </c:pt>
                <c:pt idx="309">
                  <c:v>-924.16232340428166</c:v>
                </c:pt>
                <c:pt idx="310">
                  <c:v>-924.98648638777422</c:v>
                </c:pt>
                <c:pt idx="311">
                  <c:v>-925.80559514403456</c:v>
                </c:pt>
                <c:pt idx="312">
                  <c:v>-926.61966307649652</c:v>
                </c:pt>
                <c:pt idx="313">
                  <c:v>-927.42870345919312</c:v>
                </c:pt>
                <c:pt idx="314">
                  <c:v>-928.23272943804341</c:v>
                </c:pt>
                <c:pt idx="315">
                  <c:v>-929.03175403212128</c:v>
                </c:pt>
                <c:pt idx="316">
                  <c:v>-929.82579013490476</c:v>
                </c:pt>
                <c:pt idx="317">
                  <c:v>-930.61485051550733</c:v>
                </c:pt>
                <c:pt idx="318">
                  <c:v>-931.39894781989096</c:v>
                </c:pt>
                <c:pt idx="319">
                  <c:v>-932.17809457206192</c:v>
                </c:pt>
                <c:pt idx="320">
                  <c:v>-932.95230317524806</c:v>
                </c:pt>
                <c:pt idx="321">
                  <c:v>-933.72158591306004</c:v>
                </c:pt>
                <c:pt idx="322">
                  <c:v>-934.48595495063489</c:v>
                </c:pt>
                <c:pt idx="323">
                  <c:v>-935.24542233576312</c:v>
                </c:pt>
                <c:pt idx="324">
                  <c:v>-936</c:v>
                </c:pt>
                <c:pt idx="325">
                  <c:v>-936.74969975975978</c:v>
                </c:pt>
                <c:pt idx="326">
                  <c:v>-937.49453331739483</c:v>
                </c:pt>
                <c:pt idx="327">
                  <c:v>-938.2345122622595</c:v>
                </c:pt>
                <c:pt idx="328">
                  <c:v>-938.96964807175743</c:v>
                </c:pt>
                <c:pt idx="329">
                  <c:v>-939.69995211237506</c:v>
                </c:pt>
                <c:pt idx="330">
                  <c:v>-940.42543564069979</c:v>
                </c:pt>
                <c:pt idx="331">
                  <c:v>-941.14610980442353</c:v>
                </c:pt>
                <c:pt idx="332">
                  <c:v>-941.86198564333188</c:v>
                </c:pt>
                <c:pt idx="333">
                  <c:v>-942.57307409027976</c:v>
                </c:pt>
                <c:pt idx="334">
                  <c:v>-943.279385972152</c:v>
                </c:pt>
                <c:pt idx="335">
                  <c:v>-943.98093201081133</c:v>
                </c:pt>
                <c:pt idx="336">
                  <c:v>-944.67772282403268</c:v>
                </c:pt>
                <c:pt idx="337">
                  <c:v>-945.36976892642383</c:v>
                </c:pt>
                <c:pt idx="338">
                  <c:v>-946.05708073033315</c:v>
                </c:pt>
                <c:pt idx="339">
                  <c:v>-946.73966854674472</c:v>
                </c:pt>
                <c:pt idx="340">
                  <c:v>-947.41754258616095</c:v>
                </c:pt>
                <c:pt idx="341">
                  <c:v>-948.09071295947206</c:v>
                </c:pt>
                <c:pt idx="342">
                  <c:v>-948.7591896788141</c:v>
                </c:pt>
                <c:pt idx="343">
                  <c:v>-949.42298265841453</c:v>
                </c:pt>
                <c:pt idx="344">
                  <c:v>-950.08210171542544</c:v>
                </c:pt>
                <c:pt idx="345">
                  <c:v>-950.73655657074642</c:v>
                </c:pt>
                <c:pt idx="346">
                  <c:v>-951.38635684983421</c:v>
                </c:pt>
                <c:pt idx="347">
                  <c:v>-952.03151208350243</c:v>
                </c:pt>
                <c:pt idx="348">
                  <c:v>-952.67203170870926</c:v>
                </c:pt>
                <c:pt idx="349">
                  <c:v>-953.3079250693346</c:v>
                </c:pt>
                <c:pt idx="350">
                  <c:v>-953.93920141694559</c:v>
                </c:pt>
                <c:pt idx="351">
                  <c:v>-954.56586991155302</c:v>
                </c:pt>
                <c:pt idx="352">
                  <c:v>-955.1879396223552</c:v>
                </c:pt>
                <c:pt idx="353">
                  <c:v>-955.80541952847284</c:v>
                </c:pt>
                <c:pt idx="354">
                  <c:v>-956.41831851967368</c:v>
                </c:pt>
                <c:pt idx="355">
                  <c:v>-957.0266453970861</c:v>
                </c:pt>
                <c:pt idx="356">
                  <c:v>-957.63040887390366</c:v>
                </c:pt>
                <c:pt idx="357">
                  <c:v>-958.2296175760797</c:v>
                </c:pt>
                <c:pt idx="358">
                  <c:v>-958.82428004301187</c:v>
                </c:pt>
                <c:pt idx="359">
                  <c:v>-959.41440472821751</c:v>
                </c:pt>
                <c:pt idx="360">
                  <c:v>-960</c:v>
                </c:pt>
                <c:pt idx="361">
                  <c:v>-960.58107414210485</c:v>
                </c:pt>
                <c:pt idx="362">
                  <c:v>-961.15763535436793</c:v>
                </c:pt>
                <c:pt idx="363">
                  <c:v>-961.72969175335334</c:v>
                </c:pt>
                <c:pt idx="364">
                  <c:v>-962.29725137298408</c:v>
                </c:pt>
                <c:pt idx="365">
                  <c:v>-962.86032216516219</c:v>
                </c:pt>
                <c:pt idx="366">
                  <c:v>-963.41891200038208</c:v>
                </c:pt>
                <c:pt idx="367">
                  <c:v>-963.97302866833365</c:v>
                </c:pt>
                <c:pt idx="368">
                  <c:v>-964.52267987849825</c:v>
                </c:pt>
                <c:pt idx="369">
                  <c:v>-965.06787326073595</c:v>
                </c:pt>
                <c:pt idx="370">
                  <c:v>-965.60861636586492</c:v>
                </c:pt>
                <c:pt idx="371">
                  <c:v>-966.14491666623178</c:v>
                </c:pt>
                <c:pt idx="372">
                  <c:v>-966.67678155627596</c:v>
                </c:pt>
                <c:pt idx="373">
                  <c:v>-967.20421835308389</c:v>
                </c:pt>
                <c:pt idx="374">
                  <c:v>-967.72723429693758</c:v>
                </c:pt>
                <c:pt idx="375">
                  <c:v>-968.24583655185427</c:v>
                </c:pt>
                <c:pt idx="376">
                  <c:v>-968.76003220611858</c:v>
                </c:pt>
                <c:pt idx="377">
                  <c:v>-969.2698282728087</c:v>
                </c:pt>
                <c:pt idx="378">
                  <c:v>-969.77523169031292</c:v>
                </c:pt>
                <c:pt idx="379">
                  <c:v>-970.27624932284107</c:v>
                </c:pt>
                <c:pt idx="380">
                  <c:v>-970.77288796092773</c:v>
                </c:pt>
                <c:pt idx="381">
                  <c:v>-971.26515432192866</c:v>
                </c:pt>
                <c:pt idx="382">
                  <c:v>-971.75305505051028</c:v>
                </c:pt>
                <c:pt idx="383">
                  <c:v>-972.23659671913197</c:v>
                </c:pt>
                <c:pt idx="384">
                  <c:v>-972.71578582852248</c:v>
                </c:pt>
                <c:pt idx="385">
                  <c:v>-973.19062880814874</c:v>
                </c:pt>
                <c:pt idx="386">
                  <c:v>-973.66113201667861</c:v>
                </c:pt>
                <c:pt idx="387">
                  <c:v>-974.12730174243654</c:v>
                </c:pt>
                <c:pt idx="388">
                  <c:v>-974.58914420385372</c:v>
                </c:pt>
                <c:pt idx="389">
                  <c:v>-975.04666554991104</c:v>
                </c:pt>
                <c:pt idx="390">
                  <c:v>-975.49987186057592</c:v>
                </c:pt>
                <c:pt idx="391">
                  <c:v>-975.94876914723352</c:v>
                </c:pt>
                <c:pt idx="392">
                  <c:v>-976.39336335311089</c:v>
                </c:pt>
                <c:pt idx="393">
                  <c:v>-976.83366035369602</c:v>
                </c:pt>
                <c:pt idx="394">
                  <c:v>-977.26966595715021</c:v>
                </c:pt>
                <c:pt idx="395">
                  <c:v>-977.70138590471481</c:v>
                </c:pt>
                <c:pt idx="396">
                  <c:v>-978.12882587111199</c:v>
                </c:pt>
                <c:pt idx="397">
                  <c:v>-978.55199146493999</c:v>
                </c:pt>
                <c:pt idx="398">
                  <c:v>-978.97088822906267</c:v>
                </c:pt>
                <c:pt idx="399">
                  <c:v>-979.38552164099303</c:v>
                </c:pt>
                <c:pt idx="400">
                  <c:v>-979.79589711327128</c:v>
                </c:pt>
                <c:pt idx="401">
                  <c:v>-980.20201999383778</c:v>
                </c:pt>
                <c:pt idx="402">
                  <c:v>-980.60389556640041</c:v>
                </c:pt>
                <c:pt idx="403">
                  <c:v>-981.00152905079608</c:v>
                </c:pt>
                <c:pt idx="404">
                  <c:v>-981.39492560334747</c:v>
                </c:pt>
                <c:pt idx="405">
                  <c:v>-981.78409031721435</c:v>
                </c:pt>
                <c:pt idx="406">
                  <c:v>-982.16902822273926</c:v>
                </c:pt>
                <c:pt idx="407">
                  <c:v>-982.54974428778928</c:v>
                </c:pt>
                <c:pt idx="408">
                  <c:v>-982.92624341809085</c:v>
                </c:pt>
                <c:pt idx="409">
                  <c:v>-983.29853045756147</c:v>
                </c:pt>
                <c:pt idx="410">
                  <c:v>-983.66661018863499</c:v>
                </c:pt>
                <c:pt idx="411">
                  <c:v>-984.03048733258265</c:v>
                </c:pt>
                <c:pt idx="412">
                  <c:v>-984.3901665498289</c:v>
                </c:pt>
                <c:pt idx="413">
                  <c:v>-984.74565244026337</c:v>
                </c:pt>
                <c:pt idx="414">
                  <c:v>-985.0969495435462</c:v>
                </c:pt>
                <c:pt idx="415">
                  <c:v>-985.44406233941049</c:v>
                </c:pt>
                <c:pt idx="416">
                  <c:v>-985.78699524795923</c:v>
                </c:pt>
                <c:pt idx="417">
                  <c:v>-986.12575262995745</c:v>
                </c:pt>
                <c:pt idx="418">
                  <c:v>-986.46033878712024</c:v>
                </c:pt>
                <c:pt idx="419">
                  <c:v>-986.79075796239601</c:v>
                </c:pt>
                <c:pt idx="420">
                  <c:v>-987.1170143402453</c:v>
                </c:pt>
                <c:pt idx="421">
                  <c:v>-987.43911204691506</c:v>
                </c:pt>
                <c:pt idx="422">
                  <c:v>-987.75705515070865</c:v>
                </c:pt>
                <c:pt idx="423">
                  <c:v>-988.07084766225137</c:v>
                </c:pt>
                <c:pt idx="424">
                  <c:v>-988.38049353475208</c:v>
                </c:pt>
                <c:pt idx="425">
                  <c:v>-988.68599666425939</c:v>
                </c:pt>
                <c:pt idx="426">
                  <c:v>-988.98736088991552</c:v>
                </c:pt>
                <c:pt idx="427">
                  <c:v>-989.28458999420388</c:v>
                </c:pt>
                <c:pt idx="428">
                  <c:v>-989.57768770319387</c:v>
                </c:pt>
                <c:pt idx="429">
                  <c:v>-989.86665768678154</c:v>
                </c:pt>
                <c:pt idx="430">
                  <c:v>-990.15150355892501</c:v>
                </c:pt>
                <c:pt idx="431">
                  <c:v>-990.43222887787738</c:v>
                </c:pt>
                <c:pt idx="432">
                  <c:v>-990.70883714641411</c:v>
                </c:pt>
                <c:pt idx="433">
                  <c:v>-990.98133181205787</c:v>
                </c:pt>
                <c:pt idx="434">
                  <c:v>-991.2497162672986</c:v>
                </c:pt>
                <c:pt idx="435">
                  <c:v>-991.51399384980948</c:v>
                </c:pt>
                <c:pt idx="436">
                  <c:v>-991.77416784265961</c:v>
                </c:pt>
                <c:pt idx="437">
                  <c:v>-992.03024147452277</c:v>
                </c:pt>
                <c:pt idx="438">
                  <c:v>-992.28221791988187</c:v>
                </c:pt>
                <c:pt idx="439">
                  <c:v>-992.53010029923018</c:v>
                </c:pt>
                <c:pt idx="440">
                  <c:v>-992.77389167926856</c:v>
                </c:pt>
                <c:pt idx="441">
                  <c:v>-993.01359507309871</c:v>
                </c:pt>
                <c:pt idx="442">
                  <c:v>-993.24921344041343</c:v>
                </c:pt>
                <c:pt idx="443">
                  <c:v>-993.48074968768265</c:v>
                </c:pt>
                <c:pt idx="444">
                  <c:v>-993.70820666833583</c:v>
                </c:pt>
                <c:pt idx="445">
                  <c:v>-993.93158718294092</c:v>
                </c:pt>
                <c:pt idx="446">
                  <c:v>-994.15089397937982</c:v>
                </c:pt>
                <c:pt idx="447">
                  <c:v>-994.36612975302012</c:v>
                </c:pt>
                <c:pt idx="448">
                  <c:v>-994.57729714688344</c:v>
                </c:pt>
                <c:pt idx="449">
                  <c:v>-994.78439875180993</c:v>
                </c:pt>
                <c:pt idx="450">
                  <c:v>-994.98743710661995</c:v>
                </c:pt>
                <c:pt idx="451">
                  <c:v>-995.18641469827151</c:v>
                </c:pt>
                <c:pt idx="452">
                  <c:v>-995.38133396201476</c:v>
                </c:pt>
                <c:pt idx="453">
                  <c:v>-995.57219728154325</c:v>
                </c:pt>
                <c:pt idx="454">
                  <c:v>-995.75900698914097</c:v>
                </c:pt>
                <c:pt idx="455">
                  <c:v>-995.941765365827</c:v>
                </c:pt>
                <c:pt idx="456">
                  <c:v>-996.12047464149634</c:v>
                </c:pt>
                <c:pt idx="457">
                  <c:v>-996.29513699505731</c:v>
                </c:pt>
                <c:pt idx="458">
                  <c:v>-996.46575455456571</c:v>
                </c:pt>
                <c:pt idx="459">
                  <c:v>-996.63232939735599</c:v>
                </c:pt>
                <c:pt idx="460">
                  <c:v>-996.794863550169</c:v>
                </c:pt>
                <c:pt idx="461">
                  <c:v>-996.9533589892759</c:v>
                </c:pt>
                <c:pt idx="462">
                  <c:v>-997.10781764059993</c:v>
                </c:pt>
                <c:pt idx="463">
                  <c:v>-997.25824137983443</c:v>
                </c:pt>
                <c:pt idx="464">
                  <c:v>-997.40463203255683</c:v>
                </c:pt>
                <c:pt idx="465">
                  <c:v>-997.54699137434125</c:v>
                </c:pt>
                <c:pt idx="466">
                  <c:v>-997.68532113086644</c:v>
                </c:pt>
                <c:pt idx="467">
                  <c:v>-997.81962297802102</c:v>
                </c:pt>
                <c:pt idx="468">
                  <c:v>-997.94989854200594</c:v>
                </c:pt>
                <c:pt idx="469">
                  <c:v>-998.07614939943335</c:v>
                </c:pt>
                <c:pt idx="470">
                  <c:v>-998.19837707742238</c:v>
                </c:pt>
                <c:pt idx="471">
                  <c:v>-998.3165830536924</c:v>
                </c:pt>
                <c:pt idx="472">
                  <c:v>-998.43076875665247</c:v>
                </c:pt>
                <c:pt idx="473">
                  <c:v>-998.54093556548798</c:v>
                </c:pt>
                <c:pt idx="474">
                  <c:v>-998.64708481024468</c:v>
                </c:pt>
                <c:pt idx="475">
                  <c:v>-998.749217771909</c:v>
                </c:pt>
                <c:pt idx="476">
                  <c:v>-998.84733568248555</c:v>
                </c:pt>
                <c:pt idx="477">
                  <c:v>-998.9414397250722</c:v>
                </c:pt>
                <c:pt idx="478">
                  <c:v>-999.03153103393083</c:v>
                </c:pt>
                <c:pt idx="479">
                  <c:v>-999.11761069455679</c:v>
                </c:pt>
                <c:pt idx="480">
                  <c:v>-999.19967974374367</c:v>
                </c:pt>
                <c:pt idx="481">
                  <c:v>-999.27773916964645</c:v>
                </c:pt>
                <c:pt idx="482">
                  <c:v>-999.3517899118408</c:v>
                </c:pt>
                <c:pt idx="483">
                  <c:v>-999.42183286137993</c:v>
                </c:pt>
                <c:pt idx="484">
                  <c:v>-999.48786886084815</c:v>
                </c:pt>
                <c:pt idx="485">
                  <c:v>-999.54989870441182</c:v>
                </c:pt>
                <c:pt idx="486">
                  <c:v>-999.60792313786715</c:v>
                </c:pt>
                <c:pt idx="487">
                  <c:v>-999.6619428586846</c:v>
                </c:pt>
                <c:pt idx="488">
                  <c:v>-999.71195851605171</c:v>
                </c:pt>
                <c:pt idx="489">
                  <c:v>-999.75797071091165</c:v>
                </c:pt>
                <c:pt idx="490">
                  <c:v>-999.79997999599902</c:v>
                </c:pt>
                <c:pt idx="491">
                  <c:v>-999.83798687587375</c:v>
                </c:pt>
                <c:pt idx="492">
                  <c:v>-999.8719918069512</c:v>
                </c:pt>
                <c:pt idx="493">
                  <c:v>-999.90199519752935</c:v>
                </c:pt>
                <c:pt idx="494">
                  <c:v>-999.92799740781334</c:v>
                </c:pt>
                <c:pt idx="495">
                  <c:v>-999.94999874993755</c:v>
                </c:pt>
                <c:pt idx="496">
                  <c:v>-999.96799948798366</c:v>
                </c:pt>
                <c:pt idx="497">
                  <c:v>-999.98199983799714</c:v>
                </c:pt>
                <c:pt idx="498">
                  <c:v>-999.99199996799973</c:v>
                </c:pt>
                <c:pt idx="499">
                  <c:v>-999.99799999799995</c:v>
                </c:pt>
                <c:pt idx="500">
                  <c:v>-1000</c:v>
                </c:pt>
                <c:pt idx="501">
                  <c:v>-999.99799999799995</c:v>
                </c:pt>
                <c:pt idx="502">
                  <c:v>-999.99199996799973</c:v>
                </c:pt>
                <c:pt idx="503">
                  <c:v>-999.98199983799714</c:v>
                </c:pt>
                <c:pt idx="504">
                  <c:v>-999.96799948798366</c:v>
                </c:pt>
                <c:pt idx="505">
                  <c:v>-999.94999874993755</c:v>
                </c:pt>
                <c:pt idx="506">
                  <c:v>-999.92799740781334</c:v>
                </c:pt>
                <c:pt idx="507">
                  <c:v>-999.90199519752935</c:v>
                </c:pt>
                <c:pt idx="508">
                  <c:v>-999.8719918069512</c:v>
                </c:pt>
                <c:pt idx="509">
                  <c:v>-999.83798687587375</c:v>
                </c:pt>
                <c:pt idx="510">
                  <c:v>-999.79997999599902</c:v>
                </c:pt>
                <c:pt idx="511">
                  <c:v>-999.75797071091165</c:v>
                </c:pt>
                <c:pt idx="512">
                  <c:v>-999.71195851605171</c:v>
                </c:pt>
                <c:pt idx="513">
                  <c:v>-999.6619428586846</c:v>
                </c:pt>
                <c:pt idx="514">
                  <c:v>-999.60792313786715</c:v>
                </c:pt>
                <c:pt idx="515">
                  <c:v>-999.54989870441182</c:v>
                </c:pt>
                <c:pt idx="516">
                  <c:v>-999.48786886084815</c:v>
                </c:pt>
                <c:pt idx="517">
                  <c:v>-999.42183286137993</c:v>
                </c:pt>
                <c:pt idx="518">
                  <c:v>-999.3517899118408</c:v>
                </c:pt>
                <c:pt idx="519">
                  <c:v>-999.27773916964645</c:v>
                </c:pt>
                <c:pt idx="520">
                  <c:v>-999.19967974374367</c:v>
                </c:pt>
                <c:pt idx="521">
                  <c:v>-999.11761069455679</c:v>
                </c:pt>
                <c:pt idx="522">
                  <c:v>-999.03153103393083</c:v>
                </c:pt>
                <c:pt idx="523">
                  <c:v>-998.9414397250722</c:v>
                </c:pt>
                <c:pt idx="524">
                  <c:v>-998.84733568248555</c:v>
                </c:pt>
                <c:pt idx="525">
                  <c:v>-998.749217771909</c:v>
                </c:pt>
                <c:pt idx="526">
                  <c:v>-998.64708481024468</c:v>
                </c:pt>
                <c:pt idx="527">
                  <c:v>-998.54093556548798</c:v>
                </c:pt>
                <c:pt idx="528">
                  <c:v>-998.43076875665247</c:v>
                </c:pt>
                <c:pt idx="529">
                  <c:v>-998.3165830536924</c:v>
                </c:pt>
                <c:pt idx="530">
                  <c:v>-998.19837707742238</c:v>
                </c:pt>
                <c:pt idx="531">
                  <c:v>-998.07614939943335</c:v>
                </c:pt>
                <c:pt idx="532">
                  <c:v>-997.94989854200594</c:v>
                </c:pt>
                <c:pt idx="533">
                  <c:v>-997.81962297802102</c:v>
                </c:pt>
                <c:pt idx="534">
                  <c:v>-997.68532113086644</c:v>
                </c:pt>
                <c:pt idx="535">
                  <c:v>-997.54699137434125</c:v>
                </c:pt>
                <c:pt idx="536">
                  <c:v>-997.40463203255683</c:v>
                </c:pt>
                <c:pt idx="537">
                  <c:v>-997.25824137983443</c:v>
                </c:pt>
                <c:pt idx="538">
                  <c:v>-997.10781764059993</c:v>
                </c:pt>
                <c:pt idx="539">
                  <c:v>-996.9533589892759</c:v>
                </c:pt>
                <c:pt idx="540">
                  <c:v>-996.794863550169</c:v>
                </c:pt>
                <c:pt idx="541">
                  <c:v>-996.63232939735599</c:v>
                </c:pt>
                <c:pt idx="542">
                  <c:v>-996.46575455456571</c:v>
                </c:pt>
                <c:pt idx="543">
                  <c:v>-996.29513699505731</c:v>
                </c:pt>
                <c:pt idx="544">
                  <c:v>-996.12047464149634</c:v>
                </c:pt>
                <c:pt idx="545">
                  <c:v>-995.941765365827</c:v>
                </c:pt>
                <c:pt idx="546">
                  <c:v>-995.75900698914097</c:v>
                </c:pt>
                <c:pt idx="547">
                  <c:v>-995.57219728154325</c:v>
                </c:pt>
                <c:pt idx="548">
                  <c:v>-995.38133396201476</c:v>
                </c:pt>
                <c:pt idx="549">
                  <c:v>-995.18641469827151</c:v>
                </c:pt>
                <c:pt idx="550">
                  <c:v>-994.98743710661995</c:v>
                </c:pt>
                <c:pt idx="551">
                  <c:v>-994.78439875180993</c:v>
                </c:pt>
                <c:pt idx="552">
                  <c:v>-994.57729714688344</c:v>
                </c:pt>
                <c:pt idx="553">
                  <c:v>-994.36612975302012</c:v>
                </c:pt>
                <c:pt idx="554">
                  <c:v>-994.15089397937982</c:v>
                </c:pt>
                <c:pt idx="555">
                  <c:v>-993.93158718294092</c:v>
                </c:pt>
                <c:pt idx="556">
                  <c:v>-993.70820666833583</c:v>
                </c:pt>
                <c:pt idx="557">
                  <c:v>-993.48074968768265</c:v>
                </c:pt>
                <c:pt idx="558">
                  <c:v>-993.24921344041343</c:v>
                </c:pt>
                <c:pt idx="559">
                  <c:v>-993.01359507309871</c:v>
                </c:pt>
                <c:pt idx="560">
                  <c:v>-992.77389167926856</c:v>
                </c:pt>
                <c:pt idx="561">
                  <c:v>-992.53010029923018</c:v>
                </c:pt>
                <c:pt idx="562">
                  <c:v>-992.28221791988187</c:v>
                </c:pt>
                <c:pt idx="563">
                  <c:v>-992.03024147452277</c:v>
                </c:pt>
                <c:pt idx="564">
                  <c:v>-991.77416784265961</c:v>
                </c:pt>
                <c:pt idx="565">
                  <c:v>-991.51399384980948</c:v>
                </c:pt>
                <c:pt idx="566">
                  <c:v>-991.2497162672986</c:v>
                </c:pt>
                <c:pt idx="567">
                  <c:v>-990.98133181205787</c:v>
                </c:pt>
                <c:pt idx="568">
                  <c:v>-990.70883714641411</c:v>
                </c:pt>
                <c:pt idx="569">
                  <c:v>-990.43222887787738</c:v>
                </c:pt>
                <c:pt idx="570">
                  <c:v>-990.15150355892501</c:v>
                </c:pt>
                <c:pt idx="571">
                  <c:v>-989.86665768678154</c:v>
                </c:pt>
                <c:pt idx="572">
                  <c:v>-989.57768770319387</c:v>
                </c:pt>
                <c:pt idx="573">
                  <c:v>-989.28458999420388</c:v>
                </c:pt>
                <c:pt idx="574">
                  <c:v>-988.98736088991552</c:v>
                </c:pt>
                <c:pt idx="575">
                  <c:v>-988.68599666425939</c:v>
                </c:pt>
                <c:pt idx="576">
                  <c:v>-988.38049353475208</c:v>
                </c:pt>
                <c:pt idx="577">
                  <c:v>-988.07084766225137</c:v>
                </c:pt>
                <c:pt idx="578">
                  <c:v>-987.75705515070865</c:v>
                </c:pt>
                <c:pt idx="579">
                  <c:v>-987.43911204691506</c:v>
                </c:pt>
                <c:pt idx="580">
                  <c:v>-987.1170143402453</c:v>
                </c:pt>
                <c:pt idx="581">
                  <c:v>-986.79075796239601</c:v>
                </c:pt>
                <c:pt idx="582">
                  <c:v>-986.46033878712024</c:v>
                </c:pt>
                <c:pt idx="583">
                  <c:v>-986.12575262995745</c:v>
                </c:pt>
                <c:pt idx="584">
                  <c:v>-985.78699524795923</c:v>
                </c:pt>
                <c:pt idx="585">
                  <c:v>-985.44406233941049</c:v>
                </c:pt>
                <c:pt idx="586">
                  <c:v>-985.0969495435462</c:v>
                </c:pt>
                <c:pt idx="587">
                  <c:v>-984.74565244026337</c:v>
                </c:pt>
                <c:pt idx="588">
                  <c:v>-984.3901665498289</c:v>
                </c:pt>
                <c:pt idx="589">
                  <c:v>-984.03048733258265</c:v>
                </c:pt>
                <c:pt idx="590">
                  <c:v>-983.66661018863499</c:v>
                </c:pt>
                <c:pt idx="591">
                  <c:v>-983.29853045756147</c:v>
                </c:pt>
                <c:pt idx="592">
                  <c:v>-982.92624341809085</c:v>
                </c:pt>
                <c:pt idx="593">
                  <c:v>-982.54974428778928</c:v>
                </c:pt>
                <c:pt idx="594">
                  <c:v>-982.16902822273926</c:v>
                </c:pt>
                <c:pt idx="595">
                  <c:v>-981.78409031721435</c:v>
                </c:pt>
                <c:pt idx="596">
                  <c:v>-981.39492560334747</c:v>
                </c:pt>
                <c:pt idx="597">
                  <c:v>-981.00152905079608</c:v>
                </c:pt>
                <c:pt idx="598">
                  <c:v>-980.60389556640041</c:v>
                </c:pt>
                <c:pt idx="599">
                  <c:v>-980.20201999383778</c:v>
                </c:pt>
                <c:pt idx="600">
                  <c:v>-979.79589711327128</c:v>
                </c:pt>
                <c:pt idx="601">
                  <c:v>-979.38552164099303</c:v>
                </c:pt>
                <c:pt idx="602">
                  <c:v>-978.97088822906267</c:v>
                </c:pt>
                <c:pt idx="603">
                  <c:v>-978.55199146493999</c:v>
                </c:pt>
                <c:pt idx="604">
                  <c:v>-978.12882587111199</c:v>
                </c:pt>
                <c:pt idx="605">
                  <c:v>-977.70138590471481</c:v>
                </c:pt>
                <c:pt idx="606">
                  <c:v>-977.26966595715021</c:v>
                </c:pt>
                <c:pt idx="607">
                  <c:v>-976.83366035369602</c:v>
                </c:pt>
                <c:pt idx="608">
                  <c:v>-976.39336335311089</c:v>
                </c:pt>
                <c:pt idx="609">
                  <c:v>-975.94876914723352</c:v>
                </c:pt>
                <c:pt idx="610">
                  <c:v>-975.49987186057592</c:v>
                </c:pt>
                <c:pt idx="611">
                  <c:v>-975.04666554991104</c:v>
                </c:pt>
                <c:pt idx="612">
                  <c:v>-974.58914420385372</c:v>
                </c:pt>
                <c:pt idx="613">
                  <c:v>-974.12730174243654</c:v>
                </c:pt>
                <c:pt idx="614">
                  <c:v>-973.66113201667861</c:v>
                </c:pt>
                <c:pt idx="615">
                  <c:v>-973.19062880814874</c:v>
                </c:pt>
                <c:pt idx="616">
                  <c:v>-972.71578582852248</c:v>
                </c:pt>
                <c:pt idx="617">
                  <c:v>-972.23659671913197</c:v>
                </c:pt>
                <c:pt idx="618">
                  <c:v>-971.75305505051028</c:v>
                </c:pt>
                <c:pt idx="619">
                  <c:v>-971.26515432192866</c:v>
                </c:pt>
                <c:pt idx="620">
                  <c:v>-970.77288796092773</c:v>
                </c:pt>
                <c:pt idx="621">
                  <c:v>-970.27624932284107</c:v>
                </c:pt>
                <c:pt idx="622">
                  <c:v>-969.77523169031292</c:v>
                </c:pt>
                <c:pt idx="623">
                  <c:v>-969.2698282728087</c:v>
                </c:pt>
                <c:pt idx="624">
                  <c:v>-968.76003220611858</c:v>
                </c:pt>
                <c:pt idx="625">
                  <c:v>-968.24583655185427</c:v>
                </c:pt>
                <c:pt idx="626">
                  <c:v>-967.72723429693758</c:v>
                </c:pt>
                <c:pt idx="627">
                  <c:v>-967.20421835308389</c:v>
                </c:pt>
                <c:pt idx="628">
                  <c:v>-966.67678155627596</c:v>
                </c:pt>
                <c:pt idx="629">
                  <c:v>-966.14491666623178</c:v>
                </c:pt>
                <c:pt idx="630">
                  <c:v>-965.60861636586492</c:v>
                </c:pt>
                <c:pt idx="631">
                  <c:v>-965.06787326073595</c:v>
                </c:pt>
                <c:pt idx="632">
                  <c:v>-964.52267987849825</c:v>
                </c:pt>
                <c:pt idx="633">
                  <c:v>-963.97302866833365</c:v>
                </c:pt>
                <c:pt idx="634">
                  <c:v>-963.41891200038208</c:v>
                </c:pt>
                <c:pt idx="635">
                  <c:v>-962.86032216516219</c:v>
                </c:pt>
                <c:pt idx="636">
                  <c:v>-962.29725137298408</c:v>
                </c:pt>
                <c:pt idx="637">
                  <c:v>-961.72969175335334</c:v>
                </c:pt>
                <c:pt idx="638">
                  <c:v>-961.15763535436793</c:v>
                </c:pt>
                <c:pt idx="639">
                  <c:v>-960.58107414210485</c:v>
                </c:pt>
                <c:pt idx="640">
                  <c:v>-960</c:v>
                </c:pt>
                <c:pt idx="641">
                  <c:v>-959.41440472821751</c:v>
                </c:pt>
                <c:pt idx="642">
                  <c:v>-958.82428004301187</c:v>
                </c:pt>
                <c:pt idx="643">
                  <c:v>-958.2296175760797</c:v>
                </c:pt>
                <c:pt idx="644">
                  <c:v>-957.63040887390366</c:v>
                </c:pt>
                <c:pt idx="645">
                  <c:v>-957.0266453970861</c:v>
                </c:pt>
                <c:pt idx="646">
                  <c:v>-956.41831851967368</c:v>
                </c:pt>
                <c:pt idx="647">
                  <c:v>-955.80541952847284</c:v>
                </c:pt>
                <c:pt idx="648">
                  <c:v>-955.1879396223552</c:v>
                </c:pt>
                <c:pt idx="649">
                  <c:v>-954.56586991155302</c:v>
                </c:pt>
                <c:pt idx="650">
                  <c:v>-953.93920141694559</c:v>
                </c:pt>
                <c:pt idx="651">
                  <c:v>-953.3079250693346</c:v>
                </c:pt>
                <c:pt idx="652">
                  <c:v>-952.67203170870926</c:v>
                </c:pt>
                <c:pt idx="653">
                  <c:v>-952.03151208350243</c:v>
                </c:pt>
                <c:pt idx="654">
                  <c:v>-951.38635684983421</c:v>
                </c:pt>
                <c:pt idx="655">
                  <c:v>-950.73655657074642</c:v>
                </c:pt>
                <c:pt idx="656">
                  <c:v>-950.08210171542544</c:v>
                </c:pt>
                <c:pt idx="657">
                  <c:v>-949.42298265841453</c:v>
                </c:pt>
                <c:pt idx="658">
                  <c:v>-948.7591896788141</c:v>
                </c:pt>
                <c:pt idx="659">
                  <c:v>-948.09071295947206</c:v>
                </c:pt>
                <c:pt idx="660">
                  <c:v>-947.41754258616095</c:v>
                </c:pt>
                <c:pt idx="661">
                  <c:v>-946.73966854674472</c:v>
                </c:pt>
                <c:pt idx="662">
                  <c:v>-946.05708073033315</c:v>
                </c:pt>
                <c:pt idx="663">
                  <c:v>-945.36976892642383</c:v>
                </c:pt>
                <c:pt idx="664">
                  <c:v>-944.67772282403268</c:v>
                </c:pt>
                <c:pt idx="665">
                  <c:v>-943.98093201081133</c:v>
                </c:pt>
                <c:pt idx="666">
                  <c:v>-943.279385972152</c:v>
                </c:pt>
                <c:pt idx="667">
                  <c:v>-942.57307409027976</c:v>
                </c:pt>
                <c:pt idx="668">
                  <c:v>-941.86198564333188</c:v>
                </c:pt>
                <c:pt idx="669">
                  <c:v>-941.14610980442353</c:v>
                </c:pt>
                <c:pt idx="670">
                  <c:v>-940.42543564069979</c:v>
                </c:pt>
                <c:pt idx="671">
                  <c:v>-939.69995211237506</c:v>
                </c:pt>
                <c:pt idx="672">
                  <c:v>-938.96964807175743</c:v>
                </c:pt>
                <c:pt idx="673">
                  <c:v>-938.2345122622595</c:v>
                </c:pt>
                <c:pt idx="674">
                  <c:v>-937.49453331739483</c:v>
                </c:pt>
                <c:pt idx="675">
                  <c:v>-936.74969975975978</c:v>
                </c:pt>
                <c:pt idx="676">
                  <c:v>-936</c:v>
                </c:pt>
                <c:pt idx="677">
                  <c:v>-935.24542233576312</c:v>
                </c:pt>
                <c:pt idx="678">
                  <c:v>-934.48595495063489</c:v>
                </c:pt>
                <c:pt idx="679">
                  <c:v>-933.72158591306004</c:v>
                </c:pt>
                <c:pt idx="680">
                  <c:v>-932.95230317524806</c:v>
                </c:pt>
                <c:pt idx="681">
                  <c:v>-932.17809457206192</c:v>
                </c:pt>
                <c:pt idx="682">
                  <c:v>-931.39894781989096</c:v>
                </c:pt>
                <c:pt idx="683">
                  <c:v>-930.61485051550733</c:v>
                </c:pt>
                <c:pt idx="684">
                  <c:v>-929.82579013490476</c:v>
                </c:pt>
                <c:pt idx="685">
                  <c:v>-929.03175403212128</c:v>
                </c:pt>
                <c:pt idx="686">
                  <c:v>-928.23272943804341</c:v>
                </c:pt>
                <c:pt idx="687">
                  <c:v>-927.42870345919312</c:v>
                </c:pt>
                <c:pt idx="688">
                  <c:v>-926.61966307649652</c:v>
                </c:pt>
                <c:pt idx="689">
                  <c:v>-925.80559514403456</c:v>
                </c:pt>
                <c:pt idx="690">
                  <c:v>-924.98648638777422</c:v>
                </c:pt>
                <c:pt idx="691">
                  <c:v>-924.16232340428166</c:v>
                </c:pt>
                <c:pt idx="692">
                  <c:v>-923.33309265941512</c:v>
                </c:pt>
                <c:pt idx="693">
                  <c:v>-922.49878048699884</c:v>
                </c:pt>
                <c:pt idx="694">
                  <c:v>-921.65937308747641</c:v>
                </c:pt>
                <c:pt idx="695">
                  <c:v>-920.81485652654408</c:v>
                </c:pt>
                <c:pt idx="696">
                  <c:v>-919.96521673376321</c:v>
                </c:pt>
                <c:pt idx="697">
                  <c:v>-919.11043950115152</c:v>
                </c:pt>
                <c:pt idx="698">
                  <c:v>-918.25051048175305</c:v>
                </c:pt>
                <c:pt idx="699">
                  <c:v>-917.38541518818579</c:v>
                </c:pt>
                <c:pt idx="700">
                  <c:v>-916.51513899116799</c:v>
                </c:pt>
                <c:pt idx="701">
                  <c:v>-915.63966711802084</c:v>
                </c:pt>
                <c:pt idx="702">
                  <c:v>-914.75898465114847</c:v>
                </c:pt>
                <c:pt idx="703">
                  <c:v>-913.87307652649451</c:v>
                </c:pt>
                <c:pt idx="704">
                  <c:v>-912.98192753197475</c:v>
                </c:pt>
                <c:pt idx="705">
                  <c:v>-912.08552230588555</c:v>
                </c:pt>
                <c:pt idx="706">
                  <c:v>-911.18384533528683</c:v>
                </c:pt>
                <c:pt idx="707">
                  <c:v>-910.2768809543611</c:v>
                </c:pt>
                <c:pt idx="708">
                  <c:v>-909.36461334274497</c:v>
                </c:pt>
                <c:pt idx="709">
                  <c:v>-908.44702652383648</c:v>
                </c:pt>
                <c:pt idx="710">
                  <c:v>-907.52410436307423</c:v>
                </c:pt>
                <c:pt idx="711">
                  <c:v>-906.5958305661901</c:v>
                </c:pt>
                <c:pt idx="712">
                  <c:v>-905.66218867743396</c:v>
                </c:pt>
                <c:pt idx="713">
                  <c:v>-904.72316207777067</c:v>
                </c:pt>
                <c:pt idx="714">
                  <c:v>-903.77873398304746</c:v>
                </c:pt>
                <c:pt idx="715">
                  <c:v>-902.82888744213324</c:v>
                </c:pt>
                <c:pt idx="716">
                  <c:v>-901.87360533502692</c:v>
                </c:pt>
                <c:pt idx="717">
                  <c:v>-900.91287037093662</c:v>
                </c:pt>
                <c:pt idx="718">
                  <c:v>-899.94666508632611</c:v>
                </c:pt>
                <c:pt idx="719">
                  <c:v>-898.97497184293184</c:v>
                </c:pt>
                <c:pt idx="720">
                  <c:v>-897.99777282574598</c:v>
                </c:pt>
                <c:pt idx="721">
                  <c:v>-897.01505004096782</c:v>
                </c:pt>
                <c:pt idx="722">
                  <c:v>-896.02678531392132</c:v>
                </c:pt>
                <c:pt idx="723">
                  <c:v>-895.03296028693831</c:v>
                </c:pt>
                <c:pt idx="724">
                  <c:v>-894.03355641720736</c:v>
                </c:pt>
                <c:pt idx="725">
                  <c:v>-893.02855497458756</c:v>
                </c:pt>
                <c:pt idx="726">
                  <c:v>-892.01793703938483</c:v>
                </c:pt>
                <c:pt idx="727">
                  <c:v>-891.00168350009301</c:v>
                </c:pt>
                <c:pt idx="728">
                  <c:v>-889.97977505109634</c:v>
                </c:pt>
                <c:pt idx="729">
                  <c:v>-888.95219219033368</c:v>
                </c:pt>
                <c:pt idx="730">
                  <c:v>-887.91891521692457</c:v>
                </c:pt>
                <c:pt idx="731">
                  <c:v>-886.87992422875379</c:v>
                </c:pt>
                <c:pt idx="732">
                  <c:v>-885.83519912001691</c:v>
                </c:pt>
                <c:pt idx="733">
                  <c:v>-884.7847195787233</c:v>
                </c:pt>
                <c:pt idx="734">
                  <c:v>-883.72846508415694</c:v>
                </c:pt>
                <c:pt idx="735">
                  <c:v>-882.66641490429436</c:v>
                </c:pt>
                <c:pt idx="736">
                  <c:v>-881.59854809317824</c:v>
                </c:pt>
                <c:pt idx="737">
                  <c:v>-880.52484348824589</c:v>
                </c:pt>
                <c:pt idx="738">
                  <c:v>-879.44527970761203</c:v>
                </c:pt>
                <c:pt idx="739">
                  <c:v>-878.35983514730458</c:v>
                </c:pt>
                <c:pt idx="740">
                  <c:v>-877.2684879784523</c:v>
                </c:pt>
                <c:pt idx="741">
                  <c:v>-876.17121614442465</c:v>
                </c:pt>
                <c:pt idx="742">
                  <c:v>-875.06799735791958</c:v>
                </c:pt>
                <c:pt idx="743">
                  <c:v>-873.95880909800314</c:v>
                </c:pt>
                <c:pt idx="744">
                  <c:v>-872.84362860709473</c:v>
                </c:pt>
                <c:pt idx="745">
                  <c:v>-871.72243288790037</c:v>
                </c:pt>
                <c:pt idx="746">
                  <c:v>-870.59519870029146</c:v>
                </c:pt>
                <c:pt idx="747">
                  <c:v>-869.46190255812814</c:v>
                </c:pt>
                <c:pt idx="748">
                  <c:v>-868.32252072602614</c:v>
                </c:pt>
                <c:pt idx="749">
                  <c:v>-867.17702921606497</c:v>
                </c:pt>
                <c:pt idx="750">
                  <c:v>-866.02540378443859</c:v>
                </c:pt>
                <c:pt idx="751">
                  <c:v>-864.86761992804429</c:v>
                </c:pt>
                <c:pt idx="752">
                  <c:v>-863.70365288100993</c:v>
                </c:pt>
                <c:pt idx="753">
                  <c:v>-862.53347761115913</c:v>
                </c:pt>
                <c:pt idx="754">
                  <c:v>-861.35706881641136</c:v>
                </c:pt>
                <c:pt idx="755">
                  <c:v>-860.17440092111553</c:v>
                </c:pt>
                <c:pt idx="756">
                  <c:v>-858.98544807231747</c:v>
                </c:pt>
                <c:pt idx="757">
                  <c:v>-857.79018413595759</c:v>
                </c:pt>
                <c:pt idx="758">
                  <c:v>-856.58858269299856</c:v>
                </c:pt>
                <c:pt idx="759">
                  <c:v>-855.3806170354809</c:v>
                </c:pt>
                <c:pt idx="760">
                  <c:v>-854.16626016250484</c:v>
                </c:pt>
                <c:pt idx="761">
                  <c:v>-852.94548477613739</c:v>
                </c:pt>
                <c:pt idx="762">
                  <c:v>-851.71826327724125</c:v>
                </c:pt>
                <c:pt idx="763">
                  <c:v>-850.48456776122634</c:v>
                </c:pt>
                <c:pt idx="764">
                  <c:v>-849.24437001371996</c:v>
                </c:pt>
                <c:pt idx="765">
                  <c:v>-847.9976415061542</c:v>
                </c:pt>
                <c:pt idx="766">
                  <c:v>-846.74435339127001</c:v>
                </c:pt>
                <c:pt idx="767">
                  <c:v>-845.48447649853392</c:v>
                </c:pt>
                <c:pt idx="768">
                  <c:v>-844.21798132946685</c:v>
                </c:pt>
                <c:pt idx="769">
                  <c:v>-842.94483805288235</c:v>
                </c:pt>
                <c:pt idx="770">
                  <c:v>-841.66501650003249</c:v>
                </c:pt>
                <c:pt idx="771">
                  <c:v>-840.37848615965891</c:v>
                </c:pt>
                <c:pt idx="772">
                  <c:v>-839.08521617294628</c:v>
                </c:pt>
                <c:pt idx="773">
                  <c:v>-837.78517532837736</c:v>
                </c:pt>
                <c:pt idx="774">
                  <c:v>-836.47833205648544</c:v>
                </c:pt>
                <c:pt idx="775">
                  <c:v>-835.16465442450328</c:v>
                </c:pt>
                <c:pt idx="776">
                  <c:v>-833.84411013090448</c:v>
                </c:pt>
                <c:pt idx="777">
                  <c:v>-832.51666649983656</c:v>
                </c:pt>
                <c:pt idx="778">
                  <c:v>-831.18229047544082</c:v>
                </c:pt>
                <c:pt idx="779">
                  <c:v>-829.84094861605854</c:v>
                </c:pt>
                <c:pt idx="780">
                  <c:v>-828.49260708831912</c:v>
                </c:pt>
                <c:pt idx="781">
                  <c:v>-827.13723166110708</c:v>
                </c:pt>
                <c:pt idx="782">
                  <c:v>-825.7747876994066</c:v>
                </c:pt>
                <c:pt idx="783">
                  <c:v>-824.40524015801839</c:v>
                </c:pt>
                <c:pt idx="784">
                  <c:v>-823.02855357514784</c:v>
                </c:pt>
                <c:pt idx="785">
                  <c:v>-821.64469206585886</c:v>
                </c:pt>
                <c:pt idx="786">
                  <c:v>-820.25361931539203</c:v>
                </c:pt>
                <c:pt idx="787">
                  <c:v>-818.85529857234235</c:v>
                </c:pt>
                <c:pt idx="788">
                  <c:v>-817.44969264169401</c:v>
                </c:pt>
                <c:pt idx="789">
                  <c:v>-816.03676387770668</c:v>
                </c:pt>
                <c:pt idx="790">
                  <c:v>-814.61647417665199</c:v>
                </c:pt>
                <c:pt idx="791">
                  <c:v>-813.18878496939442</c:v>
                </c:pt>
                <c:pt idx="792">
                  <c:v>-811.75365721381263</c:v>
                </c:pt>
                <c:pt idx="793">
                  <c:v>-810.31105138705846</c:v>
                </c:pt>
                <c:pt idx="794">
                  <c:v>-808.86092747764746</c:v>
                </c:pt>
                <c:pt idx="795">
                  <c:v>-807.40324497737811</c:v>
                </c:pt>
                <c:pt idx="796">
                  <c:v>-805.93796287307373</c:v>
                </c:pt>
                <c:pt idx="797">
                  <c:v>-804.46503963814359</c:v>
                </c:pt>
                <c:pt idx="798">
                  <c:v>-802.98443322395735</c:v>
                </c:pt>
                <c:pt idx="799">
                  <c:v>-801.49610105102818</c:v>
                </c:pt>
                <c:pt idx="800">
                  <c:v>-800</c:v>
                </c:pt>
                <c:pt idx="801">
                  <c:v>-798.49608640243196</c:v>
                </c:pt>
                <c:pt idx="802">
                  <c:v>-796.9843160313759</c:v>
                </c:pt>
                <c:pt idx="803">
                  <c:v>-795.46464409174087</c:v>
                </c:pt>
                <c:pt idx="804">
                  <c:v>-793.93702521043826</c:v>
                </c:pt>
                <c:pt idx="805">
                  <c:v>-792.40141342630125</c:v>
                </c:pt>
                <c:pt idx="806">
                  <c:v>-790.857762179774</c:v>
                </c:pt>
                <c:pt idx="807">
                  <c:v>-789.30602430236149</c:v>
                </c:pt>
                <c:pt idx="808">
                  <c:v>-787.74615200583492</c:v>
                </c:pt>
                <c:pt idx="809">
                  <c:v>-786.17809687118609</c:v>
                </c:pt>
                <c:pt idx="810">
                  <c:v>-784.60180983732118</c:v>
                </c:pt>
                <c:pt idx="811">
                  <c:v>-783.01724118949005</c:v>
                </c:pt>
                <c:pt idx="812">
                  <c:v>-781.4243405474391</c:v>
                </c:pt>
                <c:pt idx="813">
                  <c:v>-779.8230568532839</c:v>
                </c:pt>
                <c:pt idx="814">
                  <c:v>-778.21333835909036</c:v>
                </c:pt>
                <c:pt idx="815">
                  <c:v>-776.59513261415691</c:v>
                </c:pt>
                <c:pt idx="816">
                  <c:v>-774.96838645198943</c:v>
                </c:pt>
                <c:pt idx="817">
                  <c:v>-773.33304597695815</c:v>
                </c:pt>
                <c:pt idx="818">
                  <c:v>-771.68905655062906</c:v>
                </c:pt>
                <c:pt idx="819">
                  <c:v>-770.03636277775865</c:v>
                </c:pt>
                <c:pt idx="820">
                  <c:v>-768.37490849194182</c:v>
                </c:pt>
                <c:pt idx="821">
                  <c:v>-766.70463674090297</c:v>
                </c:pt>
                <c:pt idx="822">
                  <c:v>-765.0254897714193</c:v>
                </c:pt>
                <c:pt idx="823">
                  <c:v>-763.33740901386454</c:v>
                </c:pt>
                <c:pt idx="824">
                  <c:v>-761.6403350663619</c:v>
                </c:pt>
                <c:pt idx="825">
                  <c:v>-759.9342076785332</c:v>
                </c:pt>
                <c:pt idx="826">
                  <c:v>-758.21896573483309</c:v>
                </c:pt>
                <c:pt idx="827">
                  <c:v>-756.49454723745362</c:v>
                </c:pt>
                <c:pt idx="828">
                  <c:v>-754.76088928878664</c:v>
                </c:pt>
                <c:pt idx="829">
                  <c:v>-753.01792807342906</c:v>
                </c:pt>
                <c:pt idx="830">
                  <c:v>-751.26559883971788</c:v>
                </c:pt>
                <c:pt idx="831">
                  <c:v>-749.50383588077784</c:v>
                </c:pt>
                <c:pt idx="832">
                  <c:v>-747.73257251506709</c:v>
                </c:pt>
                <c:pt idx="833">
                  <c:v>-745.95174106640434</c:v>
                </c:pt>
                <c:pt idx="834">
                  <c:v>-744.16127284346101</c:v>
                </c:pt>
                <c:pt idx="835">
                  <c:v>-742.36109811869858</c:v>
                </c:pt>
                <c:pt idx="836">
                  <c:v>-740.55114610673581</c:v>
                </c:pt>
                <c:pt idx="837">
                  <c:v>-738.73134494212445</c:v>
                </c:pt>
                <c:pt idx="838">
                  <c:v>-736.90162165651395</c:v>
                </c:pt>
                <c:pt idx="839">
                  <c:v>-735.06190215518586</c:v>
                </c:pt>
                <c:pt idx="840">
                  <c:v>-733.21211119293434</c:v>
                </c:pt>
                <c:pt idx="841">
                  <c:v>-731.35217234927256</c:v>
                </c:pt>
                <c:pt idx="842">
                  <c:v>-729.48200800293898</c:v>
                </c:pt>
                <c:pt idx="843">
                  <c:v>-727.60153930568345</c:v>
                </c:pt>
                <c:pt idx="844">
                  <c:v>-725.71068615530248</c:v>
                </c:pt>
                <c:pt idx="845">
                  <c:v>-723.80936716790291</c:v>
                </c:pt>
                <c:pt idx="846">
                  <c:v>-721.89749964936163</c:v>
                </c:pt>
                <c:pt idx="847">
                  <c:v>-719.97499956595721</c:v>
                </c:pt>
                <c:pt idx="848">
                  <c:v>-718.04178151413998</c:v>
                </c:pt>
                <c:pt idx="849">
                  <c:v>-716.09775868941244</c:v>
                </c:pt>
                <c:pt idx="850">
                  <c:v>-714.14284285428505</c:v>
                </c:pt>
                <c:pt idx="851">
                  <c:v>-712.17694430527581</c:v>
                </c:pt>
                <c:pt idx="852">
                  <c:v>-710.19997183891803</c:v>
                </c:pt>
                <c:pt idx="853">
                  <c:v>-708.21183271673738</c:v>
                </c:pt>
                <c:pt idx="854">
                  <c:v>-706.21243262916289</c:v>
                </c:pt>
                <c:pt idx="855">
                  <c:v>-704.20167565833015</c:v>
                </c:pt>
                <c:pt idx="856">
                  <c:v>-702.1794642397341</c:v>
                </c:pt>
                <c:pt idx="857">
                  <c:v>-700.14569912268973</c:v>
                </c:pt>
                <c:pt idx="858">
                  <c:v>-698.10027932955302</c:v>
                </c:pt>
                <c:pt idx="859">
                  <c:v>-696.04310211365498</c:v>
                </c:pt>
                <c:pt idx="860">
                  <c:v>-693.97406291589891</c:v>
                </c:pt>
                <c:pt idx="861">
                  <c:v>-691.89305531996774</c:v>
                </c:pt>
                <c:pt idx="862">
                  <c:v>-689.79997100608807</c:v>
                </c:pt>
                <c:pt idx="863">
                  <c:v>-687.69469970329135</c:v>
                </c:pt>
                <c:pt idx="864">
                  <c:v>-685.57712914011358</c:v>
                </c:pt>
                <c:pt idx="865">
                  <c:v>-683.44714499367103</c:v>
                </c:pt>
                <c:pt idx="866">
                  <c:v>-681.30463083704342</c:v>
                </c:pt>
                <c:pt idx="867">
                  <c:v>-679.1494680848981</c:v>
                </c:pt>
                <c:pt idx="868">
                  <c:v>-676.98153593728091</c:v>
                </c:pt>
                <c:pt idx="869">
                  <c:v>-674.80071132149828</c:v>
                </c:pt>
                <c:pt idx="870">
                  <c:v>-672.60686883200947</c:v>
                </c:pt>
                <c:pt idx="871">
                  <c:v>-670.39988066824719</c:v>
                </c:pt>
                <c:pt idx="872">
                  <c:v>-668.17961657027524</c:v>
                </c:pt>
                <c:pt idx="873">
                  <c:v>-665.94594375219378</c:v>
                </c:pt>
                <c:pt idx="874">
                  <c:v>-663.69872683319204</c:v>
                </c:pt>
                <c:pt idx="875">
                  <c:v>-661.43782776614762</c:v>
                </c:pt>
                <c:pt idx="876">
                  <c:v>-659.16310576366459</c:v>
                </c:pt>
                <c:pt idx="877">
                  <c:v>-656.87441722143512</c:v>
                </c:pt>
                <c:pt idx="878">
                  <c:v>-654.57161563880845</c:v>
                </c:pt>
                <c:pt idx="879">
                  <c:v>-652.25455153643816</c:v>
                </c:pt>
                <c:pt idx="880">
                  <c:v>-649.92307237087687</c:v>
                </c:pt>
                <c:pt idx="881">
                  <c:v>-647.57702244597897</c:v>
                </c:pt>
                <c:pt idx="882">
                  <c:v>-645.21624282096309</c:v>
                </c:pt>
                <c:pt idx="883">
                  <c:v>-642.84057121497858</c:v>
                </c:pt>
                <c:pt idx="884">
                  <c:v>-640.44984190801392</c:v>
                </c:pt>
                <c:pt idx="885">
                  <c:v>-638.04388563797079</c:v>
                </c:pt>
                <c:pt idx="886">
                  <c:v>-635.62252949372396</c:v>
                </c:pt>
                <c:pt idx="887">
                  <c:v>-633.18559680397027</c:v>
                </c:pt>
                <c:pt idx="888">
                  <c:v>-630.7329070216648</c:v>
                </c:pt>
                <c:pt idx="889">
                  <c:v>-628.26427560382581</c:v>
                </c:pt>
                <c:pt idx="890">
                  <c:v>-625.77951388648057</c:v>
                </c:pt>
                <c:pt idx="891">
                  <c:v>-623.27842895450829</c:v>
                </c:pt>
                <c:pt idx="892">
                  <c:v>-620.76082350612296</c:v>
                </c:pt>
                <c:pt idx="893">
                  <c:v>-618.22649571172542</c:v>
                </c:pt>
                <c:pt idx="894">
                  <c:v>-615.67523906683141</c:v>
                </c:pt>
                <c:pt idx="895">
                  <c:v>-613.10684223877331</c:v>
                </c:pt>
                <c:pt idx="896">
                  <c:v>-610.52108890684519</c:v>
                </c:pt>
                <c:pt idx="897">
                  <c:v>-607.91775759554844</c:v>
                </c:pt>
                <c:pt idx="898">
                  <c:v>-605.2966215005664</c:v>
                </c:pt>
                <c:pt idx="899">
                  <c:v>-602.65744830707933</c:v>
                </c:pt>
                <c:pt idx="900">
                  <c:v>-600</c:v>
                </c:pt>
                <c:pt idx="901">
                  <c:v>-597.32403266568804</c:v>
                </c:pt>
                <c:pt idx="902">
                  <c:v>-594.62929628466838</c:v>
                </c:pt>
                <c:pt idx="903">
                  <c:v>-591.91553451484947</c:v>
                </c:pt>
                <c:pt idx="904">
                  <c:v>-589.18248446470295</c:v>
                </c:pt>
                <c:pt idx="905">
                  <c:v>-586.42987645582991</c:v>
                </c:pt>
                <c:pt idx="906">
                  <c:v>-583.65743377429885</c:v>
                </c:pt>
                <c:pt idx="907">
                  <c:v>-580.86487241009854</c:v>
                </c:pt>
                <c:pt idx="908">
                  <c:v>-578.05190078400403</c:v>
                </c:pt>
                <c:pt idx="909">
                  <c:v>-575.21821946110151</c:v>
                </c:pt>
                <c:pt idx="910">
                  <c:v>-572.36352085016733</c:v>
                </c:pt>
                <c:pt idx="911">
                  <c:v>-569.48748888803516</c:v>
                </c:pt>
                <c:pt idx="912">
                  <c:v>-566.58979870802477</c:v>
                </c:pt>
                <c:pt idx="913">
                  <c:v>-563.67011629143508</c:v>
                </c:pt>
                <c:pt idx="914">
                  <c:v>-560.72809810103149</c:v>
                </c:pt>
                <c:pt idx="915">
                  <c:v>-557.76339069537357</c:v>
                </c:pt>
                <c:pt idx="916">
                  <c:v>-554.77563032274588</c:v>
                </c:pt>
                <c:pt idx="917">
                  <c:v>-551.76444249335236</c:v>
                </c:pt>
                <c:pt idx="918">
                  <c:v>-548.72944152833645</c:v>
                </c:pt>
                <c:pt idx="919">
                  <c:v>-545.67023008406829</c:v>
                </c:pt>
                <c:pt idx="920">
                  <c:v>-542.58639865002147</c:v>
                </c:pt>
                <c:pt idx="921">
                  <c:v>-539.47752501842001</c:v>
                </c:pt>
                <c:pt idx="922">
                  <c:v>-536.34317372368969</c:v>
                </c:pt>
                <c:pt idx="923">
                  <c:v>-533.18289544958213</c:v>
                </c:pt>
                <c:pt idx="924">
                  <c:v>-529.99622640166035</c:v>
                </c:pt>
                <c:pt idx="925">
                  <c:v>-526.78268764263692</c:v>
                </c:pt>
                <c:pt idx="926">
                  <c:v>-523.54178438783663</c:v>
                </c:pt>
                <c:pt idx="927">
                  <c:v>-520.27300525781652</c:v>
                </c:pt>
                <c:pt idx="928">
                  <c:v>-516.97582148491233</c:v>
                </c:pt>
                <c:pt idx="929">
                  <c:v>-513.64968607018534</c:v>
                </c:pt>
                <c:pt idx="930">
                  <c:v>-510.29403288692293</c:v>
                </c:pt>
                <c:pt idx="931">
                  <c:v>-506.90827572648681</c:v>
                </c:pt>
                <c:pt idx="932">
                  <c:v>-503.49180728190601</c:v>
                </c:pt>
                <c:pt idx="933">
                  <c:v>-500.04399806417035</c:v>
                </c:pt>
                <c:pt idx="934">
                  <c:v>-496.56419524569026</c:v>
                </c:pt>
                <c:pt idx="935">
                  <c:v>-493.05172142484201</c:v>
                </c:pt>
                <c:pt idx="936">
                  <c:v>-489.50587330490737</c:v>
                </c:pt>
                <c:pt idx="937">
                  <c:v>-485.92592028003611</c:v>
                </c:pt>
                <c:pt idx="938">
                  <c:v>-482.31110292009657</c:v>
                </c:pt>
                <c:pt idx="939">
                  <c:v>-478.66063134542412</c:v>
                </c:pt>
                <c:pt idx="940">
                  <c:v>-474.97368348151667</c:v>
                </c:pt>
                <c:pt idx="941">
                  <c:v>-471.24940318264595</c:v>
                </c:pt>
                <c:pt idx="942">
                  <c:v>-467.48689821213173</c:v>
                </c:pt>
                <c:pt idx="943">
                  <c:v>-463.68523806565162</c:v>
                </c:pt>
                <c:pt idx="944">
                  <c:v>-459.84345162239725</c:v>
                </c:pt>
                <c:pt idx="945">
                  <c:v>-455.96052460711991</c:v>
                </c:pt>
                <c:pt idx="946">
                  <c:v>-452.03539684409674</c:v>
                </c:pt>
                <c:pt idx="947">
                  <c:v>-448.06695928175736</c:v>
                </c:pt>
                <c:pt idx="948">
                  <c:v>-444.05405076409335</c:v>
                </c:pt>
                <c:pt idx="949">
                  <c:v>-439.99545452197572</c:v>
                </c:pt>
                <c:pt idx="950">
                  <c:v>-435.88989435406734</c:v>
                </c:pt>
                <c:pt idx="951">
                  <c:v>-431.73603046305971</c:v>
                </c:pt>
                <c:pt idx="952">
                  <c:v>-427.5324549083964</c:v>
                </c:pt>
                <c:pt idx="953">
                  <c:v>-423.27768663136499</c:v>
                </c:pt>
                <c:pt idx="954">
                  <c:v>-418.9701660023062</c:v>
                </c:pt>
                <c:pt idx="955">
                  <c:v>-414.60824883255759</c:v>
                </c:pt>
                <c:pt idx="956">
                  <c:v>-410.19019978541661</c:v>
                </c:pt>
                <c:pt idx="957">
                  <c:v>-405.7141851106515</c:v>
                </c:pt>
                <c:pt idx="958">
                  <c:v>-401.17826461561947</c:v>
                </c:pt>
                <c:pt idx="959">
                  <c:v>-396.58038277252194</c:v>
                </c:pt>
                <c:pt idx="960">
                  <c:v>-391.91835884530849</c:v>
                </c:pt>
                <c:pt idx="961">
                  <c:v>-387.18987590070071</c:v>
                </c:pt>
                <c:pt idx="962">
                  <c:v>-382.39246854508002</c:v>
                </c:pt>
                <c:pt idx="963">
                  <c:v>-377.52350920174496</c:v>
                </c:pt>
                <c:pt idx="964">
                  <c:v>-372.58019271024057</c:v>
                </c:pt>
                <c:pt idx="965">
                  <c:v>-367.55951898978213</c:v>
                </c:pt>
                <c:pt idx="966">
                  <c:v>-362.45827346054608</c:v>
                </c:pt>
                <c:pt idx="967">
                  <c:v>-357.27300485762987</c:v>
                </c:pt>
                <c:pt idx="968">
                  <c:v>-352</c:v>
                </c:pt>
                <c:pt idx="969">
                  <c:v>-346.63525498714063</c:v>
                </c:pt>
                <c:pt idx="970">
                  <c:v>-341.17444218463959</c:v>
                </c:pt>
                <c:pt idx="971">
                  <c:v>-335.61287222036049</c:v>
                </c:pt>
                <c:pt idx="972">
                  <c:v>-329.94545003682049</c:v>
                </c:pt>
                <c:pt idx="973">
                  <c:v>-324.16662382176236</c:v>
                </c:pt>
                <c:pt idx="974">
                  <c:v>-318.2703253525217</c:v>
                </c:pt>
                <c:pt idx="975">
                  <c:v>-312.24989991991993</c:v>
                </c:pt>
                <c:pt idx="976">
                  <c:v>-306.09802351534387</c:v>
                </c:pt>
                <c:pt idx="977">
                  <c:v>-299.80660433019148</c:v>
                </c:pt>
                <c:pt idx="978">
                  <c:v>-293.36666477294244</c:v>
                </c:pt>
                <c:pt idx="979">
                  <c:v>-286.76819907374664</c:v>
                </c:pt>
                <c:pt idx="980">
                  <c:v>-280</c:v>
                </c:pt>
                <c:pt idx="981">
                  <c:v>-273.04944607158609</c:v>
                </c:pt>
                <c:pt idx="982">
                  <c:v>-265.90223767392405</c:v>
                </c:pt>
                <c:pt idx="983">
                  <c:v>-258.54206620973696</c:v>
                </c:pt>
                <c:pt idx="984">
                  <c:v>-250.95019426172996</c:v>
                </c:pt>
                <c:pt idx="985">
                  <c:v>-243.10491562286435</c:v>
                </c:pt>
                <c:pt idx="986">
                  <c:v>-234.98085028359225</c:v>
                </c:pt>
                <c:pt idx="987">
                  <c:v>-226.54800815721157</c:v>
                </c:pt>
                <c:pt idx="988">
                  <c:v>-217.77052142105919</c:v>
                </c:pt>
                <c:pt idx="989">
                  <c:v>-208.60488968382307</c:v>
                </c:pt>
                <c:pt idx="990">
                  <c:v>-198.997487421324</c:v>
                </c:pt>
                <c:pt idx="991">
                  <c:v>-188.88091486436633</c:v>
                </c:pt>
                <c:pt idx="992">
                  <c:v>-178.16845961056069</c:v>
                </c:pt>
                <c:pt idx="993">
                  <c:v>-166.74531477675768</c:v>
                </c:pt>
                <c:pt idx="994">
                  <c:v>-154.45387661046257</c:v>
                </c:pt>
                <c:pt idx="995">
                  <c:v>-141.06735979665885</c:v>
                </c:pt>
                <c:pt idx="996">
                  <c:v>-126.23787070447599</c:v>
                </c:pt>
                <c:pt idx="997">
                  <c:v>-109.38007131100254</c:v>
                </c:pt>
                <c:pt idx="998">
                  <c:v>-89.353231614754705</c:v>
                </c:pt>
                <c:pt idx="999">
                  <c:v>-63.21392251711643</c:v>
                </c:pt>
              </c:numCache>
            </c:numRef>
          </c:xVal>
          <c:yVal>
            <c:numRef>
              <c:f>Profil!$B$3:$B$1002</c:f>
              <c:numCache>
                <c:formatCode>General</c:formatCode>
                <c:ptCount val="10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</c:numCache>
            </c:numRef>
          </c:yVal>
          <c:smooth val="0"/>
        </c:ser>
        <c:ser>
          <c:idx val="4"/>
          <c:order val="1"/>
          <c:tx>
            <c:v>Zaloha_P</c:v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Profil!$L$3:$L$1002</c:f>
              <c:numCache>
                <c:formatCode>General</c:formatCode>
                <c:ptCount val="1000"/>
                <c:pt idx="0">
                  <c:v>0</c:v>
                </c:pt>
                <c:pt idx="1">
                  <c:v>63.21392251711643</c:v>
                </c:pt>
                <c:pt idx="2">
                  <c:v>89.353231614754705</c:v>
                </c:pt>
                <c:pt idx="3">
                  <c:v>109.38007131100254</c:v>
                </c:pt>
                <c:pt idx="4">
                  <c:v>126.23787070447599</c:v>
                </c:pt>
                <c:pt idx="5">
                  <c:v>141.06735979665885</c:v>
                </c:pt>
                <c:pt idx="6">
                  <c:v>154.45387661046257</c:v>
                </c:pt>
                <c:pt idx="7">
                  <c:v>166.74531477675768</c:v>
                </c:pt>
                <c:pt idx="8">
                  <c:v>178.16845961056069</c:v>
                </c:pt>
                <c:pt idx="9">
                  <c:v>188.88091486436633</c:v>
                </c:pt>
                <c:pt idx="10">
                  <c:v>198.997487421324</c:v>
                </c:pt>
                <c:pt idx="11">
                  <c:v>208.60488968382307</c:v>
                </c:pt>
                <c:pt idx="12">
                  <c:v>217.77052142105919</c:v>
                </c:pt>
                <c:pt idx="13">
                  <c:v>226.54800815721157</c:v>
                </c:pt>
                <c:pt idx="14">
                  <c:v>234.98085028359225</c:v>
                </c:pt>
                <c:pt idx="15">
                  <c:v>243.10491562286435</c:v>
                </c:pt>
                <c:pt idx="16">
                  <c:v>250.95019426172996</c:v>
                </c:pt>
                <c:pt idx="17">
                  <c:v>258.54206620973696</c:v>
                </c:pt>
                <c:pt idx="18">
                  <c:v>265.90223767392405</c:v>
                </c:pt>
                <c:pt idx="19">
                  <c:v>273.04944607158609</c:v>
                </c:pt>
                <c:pt idx="20">
                  <c:v>280</c:v>
                </c:pt>
                <c:pt idx="21">
                  <c:v>286.76819907374664</c:v>
                </c:pt>
                <c:pt idx="22">
                  <c:v>293.36666477294244</c:v>
                </c:pt>
                <c:pt idx="23">
                  <c:v>299.80660433019148</c:v>
                </c:pt>
                <c:pt idx="24">
                  <c:v>306.09802351534387</c:v>
                </c:pt>
                <c:pt idx="25">
                  <c:v>312.24989991991993</c:v>
                </c:pt>
                <c:pt idx="26">
                  <c:v>318.2703253525217</c:v>
                </c:pt>
                <c:pt idx="27">
                  <c:v>324.16662382176236</c:v>
                </c:pt>
                <c:pt idx="28">
                  <c:v>329.94545003682049</c:v>
                </c:pt>
                <c:pt idx="29">
                  <c:v>335.61287222036049</c:v>
                </c:pt>
                <c:pt idx="30">
                  <c:v>341.17444218463959</c:v>
                </c:pt>
                <c:pt idx="31">
                  <c:v>346.63525498714063</c:v>
                </c:pt>
                <c:pt idx="32">
                  <c:v>352</c:v>
                </c:pt>
                <c:pt idx="33">
                  <c:v>357.27300485762987</c:v>
                </c:pt>
                <c:pt idx="34">
                  <c:v>362.45827346054608</c:v>
                </c:pt>
                <c:pt idx="35">
                  <c:v>367.55951898978213</c:v>
                </c:pt>
                <c:pt idx="36">
                  <c:v>372.58019271024057</c:v>
                </c:pt>
                <c:pt idx="37">
                  <c:v>377.52350920174496</c:v>
                </c:pt>
                <c:pt idx="38">
                  <c:v>382.39246854508002</c:v>
                </c:pt>
                <c:pt idx="39">
                  <c:v>387.18987590070071</c:v>
                </c:pt>
                <c:pt idx="40">
                  <c:v>391.91835884530849</c:v>
                </c:pt>
                <c:pt idx="41">
                  <c:v>396.58038277252194</c:v>
                </c:pt>
                <c:pt idx="42">
                  <c:v>401.17826461561947</c:v>
                </c:pt>
                <c:pt idx="43">
                  <c:v>405.7141851106515</c:v>
                </c:pt>
                <c:pt idx="44">
                  <c:v>410.19019978541661</c:v>
                </c:pt>
                <c:pt idx="45">
                  <c:v>414.60824883255759</c:v>
                </c:pt>
                <c:pt idx="46">
                  <c:v>418.9701660023062</c:v>
                </c:pt>
                <c:pt idx="47">
                  <c:v>423.27768663136499</c:v>
                </c:pt>
                <c:pt idx="48">
                  <c:v>427.5324549083964</c:v>
                </c:pt>
                <c:pt idx="49">
                  <c:v>431.73603046305971</c:v>
                </c:pt>
                <c:pt idx="50">
                  <c:v>435.88989435406734</c:v>
                </c:pt>
                <c:pt idx="51">
                  <c:v>439.99545452197572</c:v>
                </c:pt>
                <c:pt idx="52">
                  <c:v>444.05405076409335</c:v>
                </c:pt>
                <c:pt idx="53">
                  <c:v>448.06695928175736</c:v>
                </c:pt>
                <c:pt idx="54">
                  <c:v>452.03539684409674</c:v>
                </c:pt>
                <c:pt idx="55">
                  <c:v>455.96052460711991</c:v>
                </c:pt>
                <c:pt idx="56">
                  <c:v>459.84345162239725</c:v>
                </c:pt>
                <c:pt idx="57">
                  <c:v>463.68523806565162</c:v>
                </c:pt>
                <c:pt idx="58">
                  <c:v>467.48689821213173</c:v>
                </c:pt>
                <c:pt idx="59">
                  <c:v>471.24940318264595</c:v>
                </c:pt>
                <c:pt idx="60">
                  <c:v>474.97368348151667</c:v>
                </c:pt>
                <c:pt idx="61">
                  <c:v>478.66063134542412</c:v>
                </c:pt>
                <c:pt idx="62">
                  <c:v>482.31110292009657</c:v>
                </c:pt>
                <c:pt idx="63">
                  <c:v>485.92592028003611</c:v>
                </c:pt>
                <c:pt idx="64">
                  <c:v>489.50587330490737</c:v>
                </c:pt>
                <c:pt idx="65">
                  <c:v>493.05172142484201</c:v>
                </c:pt>
                <c:pt idx="66">
                  <c:v>496.56419524569026</c:v>
                </c:pt>
                <c:pt idx="67">
                  <c:v>500.04399806417035</c:v>
                </c:pt>
                <c:pt idx="68">
                  <c:v>503.49180728190601</c:v>
                </c:pt>
                <c:pt idx="69">
                  <c:v>506.90827572648681</c:v>
                </c:pt>
                <c:pt idx="70">
                  <c:v>510.29403288692293</c:v>
                </c:pt>
                <c:pt idx="71">
                  <c:v>513.64968607018534</c:v>
                </c:pt>
                <c:pt idx="72">
                  <c:v>516.97582148491233</c:v>
                </c:pt>
                <c:pt idx="73">
                  <c:v>520.27300525781652</c:v>
                </c:pt>
                <c:pt idx="74">
                  <c:v>523.54178438783663</c:v>
                </c:pt>
                <c:pt idx="75">
                  <c:v>526.78268764263692</c:v>
                </c:pt>
                <c:pt idx="76">
                  <c:v>529.99622640166035</c:v>
                </c:pt>
                <c:pt idx="77">
                  <c:v>533.18289544958213</c:v>
                </c:pt>
                <c:pt idx="78">
                  <c:v>536.34317372368969</c:v>
                </c:pt>
                <c:pt idx="79">
                  <c:v>539.47752501842001</c:v>
                </c:pt>
                <c:pt idx="80">
                  <c:v>542.58639865002147</c:v>
                </c:pt>
                <c:pt idx="81">
                  <c:v>545.67023008406829</c:v>
                </c:pt>
                <c:pt idx="82">
                  <c:v>548.72944152833645</c:v>
                </c:pt>
                <c:pt idx="83">
                  <c:v>551.76444249335236</c:v>
                </c:pt>
                <c:pt idx="84">
                  <c:v>554.77563032274588</c:v>
                </c:pt>
                <c:pt idx="85">
                  <c:v>557.76339069537357</c:v>
                </c:pt>
                <c:pt idx="86">
                  <c:v>560.72809810103149</c:v>
                </c:pt>
                <c:pt idx="87">
                  <c:v>563.67011629143508</c:v>
                </c:pt>
                <c:pt idx="88">
                  <c:v>566.58979870802477</c:v>
                </c:pt>
                <c:pt idx="89">
                  <c:v>569.48748888803516</c:v>
                </c:pt>
                <c:pt idx="90">
                  <c:v>572.36352085016733</c:v>
                </c:pt>
                <c:pt idx="91">
                  <c:v>575.21821946110151</c:v>
                </c:pt>
                <c:pt idx="92">
                  <c:v>578.05190078400403</c:v>
                </c:pt>
                <c:pt idx="93">
                  <c:v>580.86487241009854</c:v>
                </c:pt>
                <c:pt idx="94">
                  <c:v>583.65743377429885</c:v>
                </c:pt>
                <c:pt idx="95">
                  <c:v>586.42987645582991</c:v>
                </c:pt>
                <c:pt idx="96">
                  <c:v>589.18248446470295</c:v>
                </c:pt>
                <c:pt idx="97">
                  <c:v>591.91553451484947</c:v>
                </c:pt>
                <c:pt idx="98">
                  <c:v>594.62929628466838</c:v>
                </c:pt>
                <c:pt idx="99">
                  <c:v>597.32403266568804</c:v>
                </c:pt>
                <c:pt idx="100">
                  <c:v>600</c:v>
                </c:pt>
                <c:pt idx="101">
                  <c:v>602.65744830707933</c:v>
                </c:pt>
                <c:pt idx="102">
                  <c:v>605.2966215005664</c:v>
                </c:pt>
                <c:pt idx="103">
                  <c:v>607.91775759554844</c:v>
                </c:pt>
                <c:pt idx="104">
                  <c:v>610.52108890684519</c:v>
                </c:pt>
                <c:pt idx="105">
                  <c:v>613.10684223877331</c:v>
                </c:pt>
                <c:pt idx="106">
                  <c:v>615.67523906683141</c:v>
                </c:pt>
                <c:pt idx="107">
                  <c:v>618.22649571172542</c:v>
                </c:pt>
                <c:pt idx="108">
                  <c:v>620.76082350612296</c:v>
                </c:pt>
                <c:pt idx="109">
                  <c:v>623.27842895450829</c:v>
                </c:pt>
                <c:pt idx="110">
                  <c:v>625.77951388648057</c:v>
                </c:pt>
                <c:pt idx="111">
                  <c:v>628.26427560382581</c:v>
                </c:pt>
                <c:pt idx="112">
                  <c:v>630.7329070216648</c:v>
                </c:pt>
                <c:pt idx="113">
                  <c:v>633.18559680397027</c:v>
                </c:pt>
                <c:pt idx="114">
                  <c:v>635.62252949372396</c:v>
                </c:pt>
                <c:pt idx="115">
                  <c:v>638.04388563797079</c:v>
                </c:pt>
                <c:pt idx="116">
                  <c:v>640.44984190801392</c:v>
                </c:pt>
                <c:pt idx="117">
                  <c:v>642.84057121497858</c:v>
                </c:pt>
                <c:pt idx="118">
                  <c:v>645.21624282096309</c:v>
                </c:pt>
                <c:pt idx="119">
                  <c:v>647.57702244597897</c:v>
                </c:pt>
                <c:pt idx="120">
                  <c:v>649.92307237087687</c:v>
                </c:pt>
                <c:pt idx="121">
                  <c:v>652.25455153643816</c:v>
                </c:pt>
                <c:pt idx="122">
                  <c:v>654.57161563880845</c:v>
                </c:pt>
                <c:pt idx="123">
                  <c:v>656.87441722143512</c:v>
                </c:pt>
                <c:pt idx="124">
                  <c:v>659.16310576366459</c:v>
                </c:pt>
                <c:pt idx="125">
                  <c:v>661.43782776614762</c:v>
                </c:pt>
                <c:pt idx="126">
                  <c:v>663.69872683319204</c:v>
                </c:pt>
                <c:pt idx="127">
                  <c:v>665.94594375219378</c:v>
                </c:pt>
                <c:pt idx="128">
                  <c:v>668.17961657027524</c:v>
                </c:pt>
                <c:pt idx="129">
                  <c:v>670.39988066824719</c:v>
                </c:pt>
                <c:pt idx="130">
                  <c:v>672.60686883200947</c:v>
                </c:pt>
                <c:pt idx="131">
                  <c:v>674.80071132149828</c:v>
                </c:pt>
                <c:pt idx="132">
                  <c:v>676.98153593728091</c:v>
                </c:pt>
                <c:pt idx="133">
                  <c:v>679.1494680848981</c:v>
                </c:pt>
                <c:pt idx="134">
                  <c:v>681.30463083704342</c:v>
                </c:pt>
                <c:pt idx="135">
                  <c:v>683.44714499367103</c:v>
                </c:pt>
                <c:pt idx="136">
                  <c:v>685.57712914011358</c:v>
                </c:pt>
                <c:pt idx="137">
                  <c:v>687.69469970329135</c:v>
                </c:pt>
                <c:pt idx="138">
                  <c:v>689.79997100608807</c:v>
                </c:pt>
                <c:pt idx="139">
                  <c:v>691.89305531996774</c:v>
                </c:pt>
                <c:pt idx="140">
                  <c:v>693.97406291589891</c:v>
                </c:pt>
                <c:pt idx="141">
                  <c:v>696.04310211365498</c:v>
                </c:pt>
                <c:pt idx="142">
                  <c:v>698.10027932955302</c:v>
                </c:pt>
                <c:pt idx="143">
                  <c:v>700.14569912268973</c:v>
                </c:pt>
                <c:pt idx="144">
                  <c:v>702.1794642397341</c:v>
                </c:pt>
                <c:pt idx="145">
                  <c:v>704.20167565833015</c:v>
                </c:pt>
                <c:pt idx="146">
                  <c:v>706.21243262916289</c:v>
                </c:pt>
                <c:pt idx="147">
                  <c:v>708.21183271673738</c:v>
                </c:pt>
                <c:pt idx="148">
                  <c:v>710.19997183891803</c:v>
                </c:pt>
                <c:pt idx="149">
                  <c:v>712.17694430527581</c:v>
                </c:pt>
                <c:pt idx="150">
                  <c:v>714.14284285428505</c:v>
                </c:pt>
                <c:pt idx="151">
                  <c:v>716.09775868941244</c:v>
                </c:pt>
                <c:pt idx="152">
                  <c:v>718.04178151413998</c:v>
                </c:pt>
                <c:pt idx="153">
                  <c:v>719.97499956595721</c:v>
                </c:pt>
                <c:pt idx="154">
                  <c:v>721.89749964936163</c:v>
                </c:pt>
                <c:pt idx="155">
                  <c:v>723.80936716790291</c:v>
                </c:pt>
                <c:pt idx="156">
                  <c:v>725.71068615530248</c:v>
                </c:pt>
                <c:pt idx="157">
                  <c:v>727.60153930568345</c:v>
                </c:pt>
                <c:pt idx="158">
                  <c:v>729.48200800293898</c:v>
                </c:pt>
                <c:pt idx="159">
                  <c:v>731.35217234927256</c:v>
                </c:pt>
                <c:pt idx="160">
                  <c:v>733.21211119293434</c:v>
                </c:pt>
                <c:pt idx="161">
                  <c:v>735.06190215518586</c:v>
                </c:pt>
                <c:pt idx="162">
                  <c:v>736.90162165651395</c:v>
                </c:pt>
                <c:pt idx="163">
                  <c:v>738.73134494212445</c:v>
                </c:pt>
                <c:pt idx="164">
                  <c:v>740.55114610673581</c:v>
                </c:pt>
                <c:pt idx="165">
                  <c:v>742.36109811869858</c:v>
                </c:pt>
                <c:pt idx="166">
                  <c:v>744.16127284346101</c:v>
                </c:pt>
                <c:pt idx="167">
                  <c:v>745.95174106640434</c:v>
                </c:pt>
                <c:pt idx="168">
                  <c:v>747.73257251506709</c:v>
                </c:pt>
                <c:pt idx="169">
                  <c:v>749.50383588077784</c:v>
                </c:pt>
                <c:pt idx="170">
                  <c:v>751.26559883971788</c:v>
                </c:pt>
                <c:pt idx="171">
                  <c:v>753.01792807342906</c:v>
                </c:pt>
                <c:pt idx="172">
                  <c:v>754.76088928878664</c:v>
                </c:pt>
                <c:pt idx="173">
                  <c:v>756.49454723745362</c:v>
                </c:pt>
                <c:pt idx="174">
                  <c:v>758.21896573483309</c:v>
                </c:pt>
                <c:pt idx="175">
                  <c:v>759.9342076785332</c:v>
                </c:pt>
                <c:pt idx="176">
                  <c:v>761.6403350663619</c:v>
                </c:pt>
                <c:pt idx="177">
                  <c:v>763.33740901386454</c:v>
                </c:pt>
                <c:pt idx="178">
                  <c:v>765.0254897714193</c:v>
                </c:pt>
                <c:pt idx="179">
                  <c:v>766.70463674090297</c:v>
                </c:pt>
                <c:pt idx="180">
                  <c:v>768.37490849194182</c:v>
                </c:pt>
                <c:pt idx="181">
                  <c:v>770.03636277775865</c:v>
                </c:pt>
                <c:pt idx="182">
                  <c:v>771.68905655062906</c:v>
                </c:pt>
                <c:pt idx="183">
                  <c:v>773.33304597695815</c:v>
                </c:pt>
                <c:pt idx="184">
                  <c:v>774.96838645198943</c:v>
                </c:pt>
                <c:pt idx="185">
                  <c:v>776.59513261415691</c:v>
                </c:pt>
                <c:pt idx="186">
                  <c:v>778.21333835909036</c:v>
                </c:pt>
                <c:pt idx="187">
                  <c:v>779.8230568532839</c:v>
                </c:pt>
                <c:pt idx="188">
                  <c:v>781.4243405474391</c:v>
                </c:pt>
                <c:pt idx="189">
                  <c:v>783.01724118949005</c:v>
                </c:pt>
                <c:pt idx="190">
                  <c:v>784.60180983732118</c:v>
                </c:pt>
                <c:pt idx="191">
                  <c:v>786.17809687118609</c:v>
                </c:pt>
                <c:pt idx="192">
                  <c:v>787.74615200583492</c:v>
                </c:pt>
                <c:pt idx="193">
                  <c:v>789.30602430236149</c:v>
                </c:pt>
                <c:pt idx="194">
                  <c:v>790.857762179774</c:v>
                </c:pt>
                <c:pt idx="195">
                  <c:v>792.40141342630125</c:v>
                </c:pt>
                <c:pt idx="196">
                  <c:v>793.93702521043826</c:v>
                </c:pt>
                <c:pt idx="197">
                  <c:v>795.46464409174087</c:v>
                </c:pt>
                <c:pt idx="198">
                  <c:v>796.9843160313759</c:v>
                </c:pt>
                <c:pt idx="199">
                  <c:v>798.49608640243196</c:v>
                </c:pt>
                <c:pt idx="200">
                  <c:v>800</c:v>
                </c:pt>
                <c:pt idx="201">
                  <c:v>801.49610105102818</c:v>
                </c:pt>
                <c:pt idx="202">
                  <c:v>802.98443322395735</c:v>
                </c:pt>
                <c:pt idx="203">
                  <c:v>804.46503963814359</c:v>
                </c:pt>
                <c:pt idx="204">
                  <c:v>805.93796287307373</c:v>
                </c:pt>
                <c:pt idx="205">
                  <c:v>807.40324497737811</c:v>
                </c:pt>
                <c:pt idx="206">
                  <c:v>808.86092747764746</c:v>
                </c:pt>
                <c:pt idx="207">
                  <c:v>810.31105138705846</c:v>
                </c:pt>
                <c:pt idx="208">
                  <c:v>811.75365721381263</c:v>
                </c:pt>
                <c:pt idx="209">
                  <c:v>813.18878496939442</c:v>
                </c:pt>
                <c:pt idx="210">
                  <c:v>814.61647417665199</c:v>
                </c:pt>
                <c:pt idx="211">
                  <c:v>816.03676387770668</c:v>
                </c:pt>
                <c:pt idx="212">
                  <c:v>817.44969264169401</c:v>
                </c:pt>
                <c:pt idx="213">
                  <c:v>818.85529857234235</c:v>
                </c:pt>
                <c:pt idx="214">
                  <c:v>820.25361931539203</c:v>
                </c:pt>
                <c:pt idx="215">
                  <c:v>821.64469206585886</c:v>
                </c:pt>
                <c:pt idx="216">
                  <c:v>823.02855357514784</c:v>
                </c:pt>
                <c:pt idx="217">
                  <c:v>824.40524015801839</c:v>
                </c:pt>
                <c:pt idx="218">
                  <c:v>825.7747876994066</c:v>
                </c:pt>
                <c:pt idx="219">
                  <c:v>827.13723166110708</c:v>
                </c:pt>
                <c:pt idx="220">
                  <c:v>828.49260708831912</c:v>
                </c:pt>
                <c:pt idx="221">
                  <c:v>829.84094861605854</c:v>
                </c:pt>
                <c:pt idx="222">
                  <c:v>831.18229047544082</c:v>
                </c:pt>
                <c:pt idx="223">
                  <c:v>832.51666649983656</c:v>
                </c:pt>
                <c:pt idx="224">
                  <c:v>833.84411013090448</c:v>
                </c:pt>
                <c:pt idx="225">
                  <c:v>835.16465442450328</c:v>
                </c:pt>
                <c:pt idx="226">
                  <c:v>836.47833205648544</c:v>
                </c:pt>
                <c:pt idx="227">
                  <c:v>837.78517532837736</c:v>
                </c:pt>
                <c:pt idx="228">
                  <c:v>839.08521617294628</c:v>
                </c:pt>
                <c:pt idx="229">
                  <c:v>840.37848615965891</c:v>
                </c:pt>
                <c:pt idx="230">
                  <c:v>841.66501650003249</c:v>
                </c:pt>
                <c:pt idx="231">
                  <c:v>842.94483805288235</c:v>
                </c:pt>
                <c:pt idx="232">
                  <c:v>844.21798132946685</c:v>
                </c:pt>
                <c:pt idx="233">
                  <c:v>845.48447649853392</c:v>
                </c:pt>
                <c:pt idx="234">
                  <c:v>846.74435339127001</c:v>
                </c:pt>
                <c:pt idx="235">
                  <c:v>847.9976415061542</c:v>
                </c:pt>
                <c:pt idx="236">
                  <c:v>849.24437001371996</c:v>
                </c:pt>
                <c:pt idx="237">
                  <c:v>850.48456776122634</c:v>
                </c:pt>
                <c:pt idx="238">
                  <c:v>851.71826327724125</c:v>
                </c:pt>
                <c:pt idx="239">
                  <c:v>852.94548477613739</c:v>
                </c:pt>
                <c:pt idx="240">
                  <c:v>854.16626016250484</c:v>
                </c:pt>
                <c:pt idx="241">
                  <c:v>855.3806170354809</c:v>
                </c:pt>
                <c:pt idx="242">
                  <c:v>856.58858269299856</c:v>
                </c:pt>
                <c:pt idx="243">
                  <c:v>857.79018413595759</c:v>
                </c:pt>
                <c:pt idx="244">
                  <c:v>858.98544807231747</c:v>
                </c:pt>
                <c:pt idx="245">
                  <c:v>860.17440092111553</c:v>
                </c:pt>
                <c:pt idx="246">
                  <c:v>861.35706881641136</c:v>
                </c:pt>
                <c:pt idx="247">
                  <c:v>862.53347761115913</c:v>
                </c:pt>
                <c:pt idx="248">
                  <c:v>863.70365288100993</c:v>
                </c:pt>
                <c:pt idx="249">
                  <c:v>864.86761992804429</c:v>
                </c:pt>
                <c:pt idx="250">
                  <c:v>866.02540378443859</c:v>
                </c:pt>
                <c:pt idx="251">
                  <c:v>867.17702921606497</c:v>
                </c:pt>
                <c:pt idx="252">
                  <c:v>868.32252072602614</c:v>
                </c:pt>
                <c:pt idx="253">
                  <c:v>869.46190255812814</c:v>
                </c:pt>
                <c:pt idx="254">
                  <c:v>870.59519870029146</c:v>
                </c:pt>
                <c:pt idx="255">
                  <c:v>871.72243288790037</c:v>
                </c:pt>
                <c:pt idx="256">
                  <c:v>872.84362860709473</c:v>
                </c:pt>
                <c:pt idx="257">
                  <c:v>873.95880909800314</c:v>
                </c:pt>
                <c:pt idx="258">
                  <c:v>875.06799735791958</c:v>
                </c:pt>
                <c:pt idx="259">
                  <c:v>876.17121614442465</c:v>
                </c:pt>
                <c:pt idx="260">
                  <c:v>877.2684879784523</c:v>
                </c:pt>
                <c:pt idx="261">
                  <c:v>878.35983514730458</c:v>
                </c:pt>
                <c:pt idx="262">
                  <c:v>879.44527970761203</c:v>
                </c:pt>
                <c:pt idx="263">
                  <c:v>880.52484348824589</c:v>
                </c:pt>
                <c:pt idx="264">
                  <c:v>881.59854809317824</c:v>
                </c:pt>
                <c:pt idx="265">
                  <c:v>882.66641490429436</c:v>
                </c:pt>
                <c:pt idx="266">
                  <c:v>883.72846508415694</c:v>
                </c:pt>
                <c:pt idx="267">
                  <c:v>884.7847195787233</c:v>
                </c:pt>
                <c:pt idx="268">
                  <c:v>885.83519912001691</c:v>
                </c:pt>
                <c:pt idx="269">
                  <c:v>886.87992422875379</c:v>
                </c:pt>
                <c:pt idx="270">
                  <c:v>887.91891521692457</c:v>
                </c:pt>
                <c:pt idx="271">
                  <c:v>888.95219219033368</c:v>
                </c:pt>
                <c:pt idx="272">
                  <c:v>889.97977505109634</c:v>
                </c:pt>
                <c:pt idx="273">
                  <c:v>891.00168350009301</c:v>
                </c:pt>
                <c:pt idx="274">
                  <c:v>892.01793703938483</c:v>
                </c:pt>
                <c:pt idx="275">
                  <c:v>893.02855497458756</c:v>
                </c:pt>
                <c:pt idx="276">
                  <c:v>894.03355641720736</c:v>
                </c:pt>
                <c:pt idx="277">
                  <c:v>895.03296028693831</c:v>
                </c:pt>
                <c:pt idx="278">
                  <c:v>896.02678531392132</c:v>
                </c:pt>
                <c:pt idx="279">
                  <c:v>897.01505004096782</c:v>
                </c:pt>
                <c:pt idx="280">
                  <c:v>897.99777282574598</c:v>
                </c:pt>
                <c:pt idx="281">
                  <c:v>898.97497184293184</c:v>
                </c:pt>
                <c:pt idx="282">
                  <c:v>899.94666508632611</c:v>
                </c:pt>
                <c:pt idx="283">
                  <c:v>900.91287037093662</c:v>
                </c:pt>
                <c:pt idx="284">
                  <c:v>901.87360533502692</c:v>
                </c:pt>
                <c:pt idx="285">
                  <c:v>902.82888744213324</c:v>
                </c:pt>
                <c:pt idx="286">
                  <c:v>903.77873398304746</c:v>
                </c:pt>
                <c:pt idx="287">
                  <c:v>904.72316207777067</c:v>
                </c:pt>
                <c:pt idx="288">
                  <c:v>905.66218867743396</c:v>
                </c:pt>
                <c:pt idx="289">
                  <c:v>906.5958305661901</c:v>
                </c:pt>
                <c:pt idx="290">
                  <c:v>907.52410436307423</c:v>
                </c:pt>
                <c:pt idx="291">
                  <c:v>908.44702652383648</c:v>
                </c:pt>
                <c:pt idx="292">
                  <c:v>909.36461334274497</c:v>
                </c:pt>
                <c:pt idx="293">
                  <c:v>910.2768809543611</c:v>
                </c:pt>
                <c:pt idx="294">
                  <c:v>911.18384533528683</c:v>
                </c:pt>
                <c:pt idx="295">
                  <c:v>912.08552230588555</c:v>
                </c:pt>
                <c:pt idx="296">
                  <c:v>912.98192753197475</c:v>
                </c:pt>
                <c:pt idx="297">
                  <c:v>913.87307652649451</c:v>
                </c:pt>
                <c:pt idx="298">
                  <c:v>914.75898465114847</c:v>
                </c:pt>
                <c:pt idx="299">
                  <c:v>915.63966711802084</c:v>
                </c:pt>
                <c:pt idx="300">
                  <c:v>916.51513899116799</c:v>
                </c:pt>
                <c:pt idx="301">
                  <c:v>917.38541518818579</c:v>
                </c:pt>
                <c:pt idx="302">
                  <c:v>918.25051048175305</c:v>
                </c:pt>
                <c:pt idx="303">
                  <c:v>919.11043950115152</c:v>
                </c:pt>
                <c:pt idx="304">
                  <c:v>919.96521673376321</c:v>
                </c:pt>
                <c:pt idx="305">
                  <c:v>920.81485652654408</c:v>
                </c:pt>
                <c:pt idx="306">
                  <c:v>921.65937308747641</c:v>
                </c:pt>
                <c:pt idx="307">
                  <c:v>922.49878048699884</c:v>
                </c:pt>
                <c:pt idx="308">
                  <c:v>923.33309265941512</c:v>
                </c:pt>
                <c:pt idx="309">
                  <c:v>924.16232340428166</c:v>
                </c:pt>
                <c:pt idx="310">
                  <c:v>924.98648638777422</c:v>
                </c:pt>
                <c:pt idx="311">
                  <c:v>925.80559514403456</c:v>
                </c:pt>
                <c:pt idx="312">
                  <c:v>926.61966307649652</c:v>
                </c:pt>
                <c:pt idx="313">
                  <c:v>927.42870345919312</c:v>
                </c:pt>
                <c:pt idx="314">
                  <c:v>928.23272943804341</c:v>
                </c:pt>
                <c:pt idx="315">
                  <c:v>929.03175403212128</c:v>
                </c:pt>
                <c:pt idx="316">
                  <c:v>929.82579013490476</c:v>
                </c:pt>
                <c:pt idx="317">
                  <c:v>930.61485051550733</c:v>
                </c:pt>
                <c:pt idx="318">
                  <c:v>931.39894781989096</c:v>
                </c:pt>
                <c:pt idx="319">
                  <c:v>932.17809457206192</c:v>
                </c:pt>
                <c:pt idx="320">
                  <c:v>932.95230317524806</c:v>
                </c:pt>
                <c:pt idx="321">
                  <c:v>933.72158591306004</c:v>
                </c:pt>
                <c:pt idx="322">
                  <c:v>934.48595495063489</c:v>
                </c:pt>
                <c:pt idx="323">
                  <c:v>935.24542233576312</c:v>
                </c:pt>
                <c:pt idx="324">
                  <c:v>936</c:v>
                </c:pt>
                <c:pt idx="325">
                  <c:v>936.74969975975978</c:v>
                </c:pt>
                <c:pt idx="326">
                  <c:v>937.49453331739483</c:v>
                </c:pt>
                <c:pt idx="327">
                  <c:v>938.2345122622595</c:v>
                </c:pt>
                <c:pt idx="328">
                  <c:v>938.96964807175743</c:v>
                </c:pt>
                <c:pt idx="329">
                  <c:v>939.69995211237506</c:v>
                </c:pt>
                <c:pt idx="330">
                  <c:v>940.42543564069979</c:v>
                </c:pt>
                <c:pt idx="331">
                  <c:v>941.14610980442353</c:v>
                </c:pt>
                <c:pt idx="332">
                  <c:v>941.86198564333188</c:v>
                </c:pt>
                <c:pt idx="333">
                  <c:v>942.57307409027976</c:v>
                </c:pt>
                <c:pt idx="334">
                  <c:v>943.279385972152</c:v>
                </c:pt>
                <c:pt idx="335">
                  <c:v>943.98093201081133</c:v>
                </c:pt>
                <c:pt idx="336">
                  <c:v>944.67772282403268</c:v>
                </c:pt>
                <c:pt idx="337">
                  <c:v>945.36976892642383</c:v>
                </c:pt>
                <c:pt idx="338">
                  <c:v>946.05708073033315</c:v>
                </c:pt>
                <c:pt idx="339">
                  <c:v>946.73966854674472</c:v>
                </c:pt>
                <c:pt idx="340">
                  <c:v>947.41754258616095</c:v>
                </c:pt>
                <c:pt idx="341">
                  <c:v>948.09071295947206</c:v>
                </c:pt>
                <c:pt idx="342">
                  <c:v>948.7591896788141</c:v>
                </c:pt>
                <c:pt idx="343">
                  <c:v>949.42298265841453</c:v>
                </c:pt>
                <c:pt idx="344">
                  <c:v>950.08210171542544</c:v>
                </c:pt>
                <c:pt idx="345">
                  <c:v>950.73655657074642</c:v>
                </c:pt>
                <c:pt idx="346">
                  <c:v>951.38635684983421</c:v>
                </c:pt>
                <c:pt idx="347">
                  <c:v>952.03151208350243</c:v>
                </c:pt>
                <c:pt idx="348">
                  <c:v>952.67203170870926</c:v>
                </c:pt>
                <c:pt idx="349">
                  <c:v>953.3079250693346</c:v>
                </c:pt>
                <c:pt idx="350">
                  <c:v>953.93920141694559</c:v>
                </c:pt>
                <c:pt idx="351">
                  <c:v>954.56586991155302</c:v>
                </c:pt>
                <c:pt idx="352">
                  <c:v>955.1879396223552</c:v>
                </c:pt>
                <c:pt idx="353">
                  <c:v>955.80541952847284</c:v>
                </c:pt>
                <c:pt idx="354">
                  <c:v>956.41831851967368</c:v>
                </c:pt>
                <c:pt idx="355">
                  <c:v>957.0266453970861</c:v>
                </c:pt>
                <c:pt idx="356">
                  <c:v>957.63040887390366</c:v>
                </c:pt>
                <c:pt idx="357">
                  <c:v>958.2296175760797</c:v>
                </c:pt>
                <c:pt idx="358">
                  <c:v>958.82428004301187</c:v>
                </c:pt>
                <c:pt idx="359">
                  <c:v>959.41440472821751</c:v>
                </c:pt>
                <c:pt idx="360">
                  <c:v>960</c:v>
                </c:pt>
                <c:pt idx="361">
                  <c:v>960.58107414210485</c:v>
                </c:pt>
                <c:pt idx="362">
                  <c:v>961.15763535436793</c:v>
                </c:pt>
                <c:pt idx="363">
                  <c:v>961.72969175335334</c:v>
                </c:pt>
                <c:pt idx="364">
                  <c:v>962.29725137298408</c:v>
                </c:pt>
                <c:pt idx="365">
                  <c:v>962.86032216516219</c:v>
                </c:pt>
                <c:pt idx="366">
                  <c:v>963.41891200038208</c:v>
                </c:pt>
                <c:pt idx="367">
                  <c:v>963.97302866833365</c:v>
                </c:pt>
                <c:pt idx="368">
                  <c:v>964.52267987849825</c:v>
                </c:pt>
                <c:pt idx="369">
                  <c:v>965.06787326073595</c:v>
                </c:pt>
                <c:pt idx="370">
                  <c:v>965.60861636586492</c:v>
                </c:pt>
                <c:pt idx="371">
                  <c:v>966.14491666623178</c:v>
                </c:pt>
                <c:pt idx="372">
                  <c:v>966.67678155627596</c:v>
                </c:pt>
                <c:pt idx="373">
                  <c:v>967.20421835308389</c:v>
                </c:pt>
                <c:pt idx="374">
                  <c:v>967.72723429693758</c:v>
                </c:pt>
                <c:pt idx="375">
                  <c:v>968.24583655185427</c:v>
                </c:pt>
                <c:pt idx="376">
                  <c:v>968.76003220611858</c:v>
                </c:pt>
                <c:pt idx="377">
                  <c:v>969.2698282728087</c:v>
                </c:pt>
                <c:pt idx="378">
                  <c:v>969.77523169031292</c:v>
                </c:pt>
                <c:pt idx="379">
                  <c:v>970.27624932284107</c:v>
                </c:pt>
                <c:pt idx="380">
                  <c:v>970.77288796092773</c:v>
                </c:pt>
                <c:pt idx="381">
                  <c:v>971.26515432192866</c:v>
                </c:pt>
                <c:pt idx="382">
                  <c:v>971.75305505051028</c:v>
                </c:pt>
                <c:pt idx="383">
                  <c:v>972.23659671913197</c:v>
                </c:pt>
                <c:pt idx="384">
                  <c:v>972.71578582852248</c:v>
                </c:pt>
                <c:pt idx="385">
                  <c:v>973.19062880814874</c:v>
                </c:pt>
                <c:pt idx="386">
                  <c:v>973.66113201667861</c:v>
                </c:pt>
                <c:pt idx="387">
                  <c:v>974.12730174243654</c:v>
                </c:pt>
                <c:pt idx="388">
                  <c:v>974.58914420385372</c:v>
                </c:pt>
                <c:pt idx="389">
                  <c:v>975.04666554991104</c:v>
                </c:pt>
                <c:pt idx="390">
                  <c:v>975.49987186057592</c:v>
                </c:pt>
                <c:pt idx="391">
                  <c:v>975.94876914723352</c:v>
                </c:pt>
                <c:pt idx="392">
                  <c:v>976.39336335311089</c:v>
                </c:pt>
                <c:pt idx="393">
                  <c:v>976.83366035369602</c:v>
                </c:pt>
                <c:pt idx="394">
                  <c:v>977.26966595715021</c:v>
                </c:pt>
                <c:pt idx="395">
                  <c:v>977.70138590471481</c:v>
                </c:pt>
                <c:pt idx="396">
                  <c:v>978.12882587111199</c:v>
                </c:pt>
                <c:pt idx="397">
                  <c:v>978.55199146493999</c:v>
                </c:pt>
                <c:pt idx="398">
                  <c:v>978.97088822906267</c:v>
                </c:pt>
                <c:pt idx="399">
                  <c:v>979.38552164099303</c:v>
                </c:pt>
                <c:pt idx="400">
                  <c:v>979.79589711327128</c:v>
                </c:pt>
                <c:pt idx="401">
                  <c:v>980.20201999383778</c:v>
                </c:pt>
                <c:pt idx="402">
                  <c:v>980.60389556640041</c:v>
                </c:pt>
                <c:pt idx="403">
                  <c:v>981.00152905079608</c:v>
                </c:pt>
                <c:pt idx="404">
                  <c:v>981.39492560334747</c:v>
                </c:pt>
                <c:pt idx="405">
                  <c:v>981.78409031721435</c:v>
                </c:pt>
                <c:pt idx="406">
                  <c:v>982.16902822273926</c:v>
                </c:pt>
                <c:pt idx="407">
                  <c:v>982.54974428778928</c:v>
                </c:pt>
                <c:pt idx="408">
                  <c:v>982.92624341809085</c:v>
                </c:pt>
                <c:pt idx="409">
                  <c:v>983.29853045756147</c:v>
                </c:pt>
                <c:pt idx="410">
                  <c:v>983.66661018863499</c:v>
                </c:pt>
                <c:pt idx="411">
                  <c:v>984.03048733258265</c:v>
                </c:pt>
                <c:pt idx="412">
                  <c:v>984.3901665498289</c:v>
                </c:pt>
                <c:pt idx="413">
                  <c:v>984.74565244026337</c:v>
                </c:pt>
                <c:pt idx="414">
                  <c:v>985.0969495435462</c:v>
                </c:pt>
                <c:pt idx="415">
                  <c:v>985.44406233941049</c:v>
                </c:pt>
                <c:pt idx="416">
                  <c:v>985.78699524795923</c:v>
                </c:pt>
                <c:pt idx="417">
                  <c:v>986.12575262995745</c:v>
                </c:pt>
                <c:pt idx="418">
                  <c:v>986.46033878712024</c:v>
                </c:pt>
                <c:pt idx="419">
                  <c:v>986.79075796239601</c:v>
                </c:pt>
                <c:pt idx="420">
                  <c:v>987.1170143402453</c:v>
                </c:pt>
                <c:pt idx="421">
                  <c:v>987.43911204691506</c:v>
                </c:pt>
                <c:pt idx="422">
                  <c:v>987.75705515070865</c:v>
                </c:pt>
                <c:pt idx="423">
                  <c:v>988.07084766225137</c:v>
                </c:pt>
                <c:pt idx="424">
                  <c:v>988.38049353475208</c:v>
                </c:pt>
                <c:pt idx="425">
                  <c:v>988.68599666425939</c:v>
                </c:pt>
                <c:pt idx="426">
                  <c:v>988.98736088991552</c:v>
                </c:pt>
                <c:pt idx="427">
                  <c:v>989.28458999420388</c:v>
                </c:pt>
                <c:pt idx="428">
                  <c:v>989.57768770319387</c:v>
                </c:pt>
                <c:pt idx="429">
                  <c:v>989.86665768678154</c:v>
                </c:pt>
                <c:pt idx="430">
                  <c:v>990.15150355892501</c:v>
                </c:pt>
                <c:pt idx="431">
                  <c:v>990.43222887787738</c:v>
                </c:pt>
                <c:pt idx="432">
                  <c:v>990.70883714641411</c:v>
                </c:pt>
                <c:pt idx="433">
                  <c:v>990.98133181205787</c:v>
                </c:pt>
                <c:pt idx="434">
                  <c:v>991.2497162672986</c:v>
                </c:pt>
                <c:pt idx="435">
                  <c:v>991.51399384980948</c:v>
                </c:pt>
                <c:pt idx="436">
                  <c:v>991.77416784265961</c:v>
                </c:pt>
                <c:pt idx="437">
                  <c:v>992.03024147452277</c:v>
                </c:pt>
                <c:pt idx="438">
                  <c:v>992.28221791988187</c:v>
                </c:pt>
                <c:pt idx="439">
                  <c:v>992.53010029923018</c:v>
                </c:pt>
                <c:pt idx="440">
                  <c:v>992.77389167926856</c:v>
                </c:pt>
                <c:pt idx="441">
                  <c:v>993.01359507309871</c:v>
                </c:pt>
                <c:pt idx="442">
                  <c:v>993.24921344041343</c:v>
                </c:pt>
                <c:pt idx="443">
                  <c:v>993.48074968768265</c:v>
                </c:pt>
                <c:pt idx="444">
                  <c:v>993.70820666833583</c:v>
                </c:pt>
                <c:pt idx="445">
                  <c:v>993.93158718294092</c:v>
                </c:pt>
                <c:pt idx="446">
                  <c:v>994.15089397937982</c:v>
                </c:pt>
                <c:pt idx="447">
                  <c:v>994.36612975302012</c:v>
                </c:pt>
                <c:pt idx="448">
                  <c:v>994.57729714688344</c:v>
                </c:pt>
                <c:pt idx="449">
                  <c:v>994.78439875180993</c:v>
                </c:pt>
                <c:pt idx="450">
                  <c:v>994.98743710661995</c:v>
                </c:pt>
                <c:pt idx="451">
                  <c:v>995.18641469827151</c:v>
                </c:pt>
                <c:pt idx="452">
                  <c:v>995.38133396201476</c:v>
                </c:pt>
                <c:pt idx="453">
                  <c:v>995.57219728154325</c:v>
                </c:pt>
                <c:pt idx="454">
                  <c:v>995.75900698914097</c:v>
                </c:pt>
                <c:pt idx="455">
                  <c:v>995.941765365827</c:v>
                </c:pt>
                <c:pt idx="456">
                  <c:v>996.12047464149634</c:v>
                </c:pt>
                <c:pt idx="457">
                  <c:v>996.29513699505731</c:v>
                </c:pt>
                <c:pt idx="458">
                  <c:v>996.46575455456571</c:v>
                </c:pt>
                <c:pt idx="459">
                  <c:v>996.63232939735599</c:v>
                </c:pt>
                <c:pt idx="460">
                  <c:v>996.794863550169</c:v>
                </c:pt>
                <c:pt idx="461">
                  <c:v>996.9533589892759</c:v>
                </c:pt>
                <c:pt idx="462">
                  <c:v>997.10781764059993</c:v>
                </c:pt>
                <c:pt idx="463">
                  <c:v>997.25824137983443</c:v>
                </c:pt>
                <c:pt idx="464">
                  <c:v>997.40463203255683</c:v>
                </c:pt>
                <c:pt idx="465">
                  <c:v>997.54699137434125</c:v>
                </c:pt>
                <c:pt idx="466">
                  <c:v>997.68532113086644</c:v>
                </c:pt>
                <c:pt idx="467">
                  <c:v>997.81962297802102</c:v>
                </c:pt>
                <c:pt idx="468">
                  <c:v>997.94989854200594</c:v>
                </c:pt>
                <c:pt idx="469">
                  <c:v>998.07614939943335</c:v>
                </c:pt>
                <c:pt idx="470">
                  <c:v>998.19837707742238</c:v>
                </c:pt>
                <c:pt idx="471">
                  <c:v>998.3165830536924</c:v>
                </c:pt>
                <c:pt idx="472">
                  <c:v>998.43076875665247</c:v>
                </c:pt>
                <c:pt idx="473">
                  <c:v>998.54093556548798</c:v>
                </c:pt>
                <c:pt idx="474">
                  <c:v>998.64708481024468</c:v>
                </c:pt>
                <c:pt idx="475">
                  <c:v>998.749217771909</c:v>
                </c:pt>
                <c:pt idx="476">
                  <c:v>998.84733568248555</c:v>
                </c:pt>
                <c:pt idx="477">
                  <c:v>998.9414397250722</c:v>
                </c:pt>
                <c:pt idx="478">
                  <c:v>999.03153103393083</c:v>
                </c:pt>
                <c:pt idx="479">
                  <c:v>999.11761069455679</c:v>
                </c:pt>
                <c:pt idx="480">
                  <c:v>999.19967974374367</c:v>
                </c:pt>
                <c:pt idx="481">
                  <c:v>999.27773916964645</c:v>
                </c:pt>
                <c:pt idx="482">
                  <c:v>999.3517899118408</c:v>
                </c:pt>
                <c:pt idx="483">
                  <c:v>999.42183286137993</c:v>
                </c:pt>
                <c:pt idx="484">
                  <c:v>999.48786886084815</c:v>
                </c:pt>
                <c:pt idx="485">
                  <c:v>999.54989870441182</c:v>
                </c:pt>
                <c:pt idx="486">
                  <c:v>999.60792313786715</c:v>
                </c:pt>
                <c:pt idx="487">
                  <c:v>999.6619428586846</c:v>
                </c:pt>
                <c:pt idx="488">
                  <c:v>999.71195851605171</c:v>
                </c:pt>
                <c:pt idx="489">
                  <c:v>999.75797071091165</c:v>
                </c:pt>
                <c:pt idx="490">
                  <c:v>999.79997999599902</c:v>
                </c:pt>
                <c:pt idx="491">
                  <c:v>999.83798687587375</c:v>
                </c:pt>
                <c:pt idx="492">
                  <c:v>999.8719918069512</c:v>
                </c:pt>
                <c:pt idx="493">
                  <c:v>999.90199519752935</c:v>
                </c:pt>
                <c:pt idx="494">
                  <c:v>999.92799740781334</c:v>
                </c:pt>
                <c:pt idx="495">
                  <c:v>999.94999874993755</c:v>
                </c:pt>
                <c:pt idx="496">
                  <c:v>999.96799948798366</c:v>
                </c:pt>
                <c:pt idx="497">
                  <c:v>999.98199983799714</c:v>
                </c:pt>
                <c:pt idx="498">
                  <c:v>999.99199996799973</c:v>
                </c:pt>
                <c:pt idx="499">
                  <c:v>999.99799999799995</c:v>
                </c:pt>
                <c:pt idx="500">
                  <c:v>1000</c:v>
                </c:pt>
                <c:pt idx="501">
                  <c:v>999.99799999799995</c:v>
                </c:pt>
                <c:pt idx="502">
                  <c:v>999.99199996799973</c:v>
                </c:pt>
                <c:pt idx="503">
                  <c:v>999.98199983799714</c:v>
                </c:pt>
                <c:pt idx="504">
                  <c:v>999.96799948798366</c:v>
                </c:pt>
                <c:pt idx="505">
                  <c:v>999.94999874993755</c:v>
                </c:pt>
                <c:pt idx="506">
                  <c:v>999.92799740781334</c:v>
                </c:pt>
                <c:pt idx="507">
                  <c:v>999.90199519752935</c:v>
                </c:pt>
                <c:pt idx="508">
                  <c:v>999.8719918069512</c:v>
                </c:pt>
                <c:pt idx="509">
                  <c:v>999.83798687587375</c:v>
                </c:pt>
                <c:pt idx="510">
                  <c:v>999.79997999599902</c:v>
                </c:pt>
                <c:pt idx="511">
                  <c:v>999.75797071091165</c:v>
                </c:pt>
                <c:pt idx="512">
                  <c:v>999.71195851605171</c:v>
                </c:pt>
                <c:pt idx="513">
                  <c:v>999.6619428586846</c:v>
                </c:pt>
                <c:pt idx="514">
                  <c:v>999.60792313786715</c:v>
                </c:pt>
                <c:pt idx="515">
                  <c:v>999.54989870441182</c:v>
                </c:pt>
                <c:pt idx="516">
                  <c:v>999.48786886084815</c:v>
                </c:pt>
                <c:pt idx="517">
                  <c:v>999.42183286137993</c:v>
                </c:pt>
                <c:pt idx="518">
                  <c:v>999.3517899118408</c:v>
                </c:pt>
                <c:pt idx="519">
                  <c:v>999.27773916964645</c:v>
                </c:pt>
                <c:pt idx="520">
                  <c:v>999.19967974374367</c:v>
                </c:pt>
                <c:pt idx="521">
                  <c:v>999.11761069455679</c:v>
                </c:pt>
                <c:pt idx="522">
                  <c:v>999.03153103393083</c:v>
                </c:pt>
                <c:pt idx="523">
                  <c:v>998.9414397250722</c:v>
                </c:pt>
                <c:pt idx="524">
                  <c:v>998.84733568248555</c:v>
                </c:pt>
                <c:pt idx="525">
                  <c:v>998.749217771909</c:v>
                </c:pt>
                <c:pt idx="526">
                  <c:v>998.64708481024468</c:v>
                </c:pt>
                <c:pt idx="527">
                  <c:v>998.54093556548798</c:v>
                </c:pt>
                <c:pt idx="528">
                  <c:v>998.43076875665247</c:v>
                </c:pt>
                <c:pt idx="529">
                  <c:v>998.3165830536924</c:v>
                </c:pt>
                <c:pt idx="530">
                  <c:v>998.19837707742238</c:v>
                </c:pt>
                <c:pt idx="531">
                  <c:v>998.07614939943335</c:v>
                </c:pt>
                <c:pt idx="532">
                  <c:v>997.94989854200594</c:v>
                </c:pt>
                <c:pt idx="533">
                  <c:v>997.81962297802102</c:v>
                </c:pt>
                <c:pt idx="534">
                  <c:v>997.68532113086644</c:v>
                </c:pt>
                <c:pt idx="535">
                  <c:v>997.54699137434125</c:v>
                </c:pt>
                <c:pt idx="536">
                  <c:v>997.40463203255683</c:v>
                </c:pt>
                <c:pt idx="537">
                  <c:v>997.25824137983443</c:v>
                </c:pt>
                <c:pt idx="538">
                  <c:v>997.10781764059993</c:v>
                </c:pt>
                <c:pt idx="539">
                  <c:v>996.9533589892759</c:v>
                </c:pt>
                <c:pt idx="540">
                  <c:v>996.794863550169</c:v>
                </c:pt>
                <c:pt idx="541">
                  <c:v>996.63232939735599</c:v>
                </c:pt>
                <c:pt idx="542">
                  <c:v>996.46575455456571</c:v>
                </c:pt>
                <c:pt idx="543">
                  <c:v>996.29513699505731</c:v>
                </c:pt>
                <c:pt idx="544">
                  <c:v>996.12047464149634</c:v>
                </c:pt>
                <c:pt idx="545">
                  <c:v>995.941765365827</c:v>
                </c:pt>
                <c:pt idx="546">
                  <c:v>995.75900698914097</c:v>
                </c:pt>
                <c:pt idx="547">
                  <c:v>995.57219728154325</c:v>
                </c:pt>
                <c:pt idx="548">
                  <c:v>995.38133396201476</c:v>
                </c:pt>
                <c:pt idx="549">
                  <c:v>995.18641469827151</c:v>
                </c:pt>
                <c:pt idx="550">
                  <c:v>994.98743710661995</c:v>
                </c:pt>
                <c:pt idx="551">
                  <c:v>994.78439875180993</c:v>
                </c:pt>
                <c:pt idx="552">
                  <c:v>994.57729714688344</c:v>
                </c:pt>
                <c:pt idx="553">
                  <c:v>994.36612975302012</c:v>
                </c:pt>
                <c:pt idx="554">
                  <c:v>994.15089397937982</c:v>
                </c:pt>
                <c:pt idx="555">
                  <c:v>993.93158718294092</c:v>
                </c:pt>
                <c:pt idx="556">
                  <c:v>993.70820666833583</c:v>
                </c:pt>
                <c:pt idx="557">
                  <c:v>993.48074968768265</c:v>
                </c:pt>
                <c:pt idx="558">
                  <c:v>993.24921344041343</c:v>
                </c:pt>
                <c:pt idx="559">
                  <c:v>993.01359507309871</c:v>
                </c:pt>
                <c:pt idx="560">
                  <c:v>992.77389167926856</c:v>
                </c:pt>
                <c:pt idx="561">
                  <c:v>992.53010029923018</c:v>
                </c:pt>
                <c:pt idx="562">
                  <c:v>992.28221791988187</c:v>
                </c:pt>
                <c:pt idx="563">
                  <c:v>992.03024147452277</c:v>
                </c:pt>
                <c:pt idx="564">
                  <c:v>991.77416784265961</c:v>
                </c:pt>
                <c:pt idx="565">
                  <c:v>991.51399384980948</c:v>
                </c:pt>
                <c:pt idx="566">
                  <c:v>991.2497162672986</c:v>
                </c:pt>
                <c:pt idx="567">
                  <c:v>990.98133181205787</c:v>
                </c:pt>
                <c:pt idx="568">
                  <c:v>990.70883714641411</c:v>
                </c:pt>
                <c:pt idx="569">
                  <c:v>990.43222887787738</c:v>
                </c:pt>
                <c:pt idx="570">
                  <c:v>990.15150355892501</c:v>
                </c:pt>
                <c:pt idx="571">
                  <c:v>989.86665768678154</c:v>
                </c:pt>
                <c:pt idx="572">
                  <c:v>989.57768770319387</c:v>
                </c:pt>
                <c:pt idx="573">
                  <c:v>989.28458999420388</c:v>
                </c:pt>
                <c:pt idx="574">
                  <c:v>988.98736088991552</c:v>
                </c:pt>
                <c:pt idx="575">
                  <c:v>988.68599666425939</c:v>
                </c:pt>
                <c:pt idx="576">
                  <c:v>988.38049353475208</c:v>
                </c:pt>
                <c:pt idx="577">
                  <c:v>988.07084766225137</c:v>
                </c:pt>
                <c:pt idx="578">
                  <c:v>987.75705515070865</c:v>
                </c:pt>
                <c:pt idx="579">
                  <c:v>987.43911204691506</c:v>
                </c:pt>
                <c:pt idx="580">
                  <c:v>987.1170143402453</c:v>
                </c:pt>
                <c:pt idx="581">
                  <c:v>986.79075796239601</c:v>
                </c:pt>
                <c:pt idx="582">
                  <c:v>986.46033878712024</c:v>
                </c:pt>
                <c:pt idx="583">
                  <c:v>986.12575262995745</c:v>
                </c:pt>
                <c:pt idx="584">
                  <c:v>985.78699524795923</c:v>
                </c:pt>
                <c:pt idx="585">
                  <c:v>985.44406233941049</c:v>
                </c:pt>
                <c:pt idx="586">
                  <c:v>985.0969495435462</c:v>
                </c:pt>
                <c:pt idx="587">
                  <c:v>984.74565244026337</c:v>
                </c:pt>
                <c:pt idx="588">
                  <c:v>984.3901665498289</c:v>
                </c:pt>
                <c:pt idx="589">
                  <c:v>984.03048733258265</c:v>
                </c:pt>
                <c:pt idx="590">
                  <c:v>983.66661018863499</c:v>
                </c:pt>
                <c:pt idx="591">
                  <c:v>983.29853045756147</c:v>
                </c:pt>
                <c:pt idx="592">
                  <c:v>982.92624341809085</c:v>
                </c:pt>
                <c:pt idx="593">
                  <c:v>982.54974428778928</c:v>
                </c:pt>
                <c:pt idx="594">
                  <c:v>982.16902822273926</c:v>
                </c:pt>
                <c:pt idx="595">
                  <c:v>981.78409031721435</c:v>
                </c:pt>
                <c:pt idx="596">
                  <c:v>981.39492560334747</c:v>
                </c:pt>
                <c:pt idx="597">
                  <c:v>981.00152905079608</c:v>
                </c:pt>
                <c:pt idx="598">
                  <c:v>980.60389556640041</c:v>
                </c:pt>
                <c:pt idx="599">
                  <c:v>980.20201999383778</c:v>
                </c:pt>
                <c:pt idx="600">
                  <c:v>979.79589711327128</c:v>
                </c:pt>
                <c:pt idx="601">
                  <c:v>979.38552164099303</c:v>
                </c:pt>
                <c:pt idx="602">
                  <c:v>978.97088822906267</c:v>
                </c:pt>
                <c:pt idx="603">
                  <c:v>978.55199146493999</c:v>
                </c:pt>
                <c:pt idx="604">
                  <c:v>978.12882587111199</c:v>
                </c:pt>
                <c:pt idx="605">
                  <c:v>977.70138590471481</c:v>
                </c:pt>
                <c:pt idx="606">
                  <c:v>977.26966595715021</c:v>
                </c:pt>
                <c:pt idx="607">
                  <c:v>976.83366035369602</c:v>
                </c:pt>
                <c:pt idx="608">
                  <c:v>976.39336335311089</c:v>
                </c:pt>
                <c:pt idx="609">
                  <c:v>975.94876914723352</c:v>
                </c:pt>
                <c:pt idx="610">
                  <c:v>975.49987186057592</c:v>
                </c:pt>
                <c:pt idx="611">
                  <c:v>975.04666554991104</c:v>
                </c:pt>
                <c:pt idx="612">
                  <c:v>974.58914420385372</c:v>
                </c:pt>
                <c:pt idx="613">
                  <c:v>974.12730174243654</c:v>
                </c:pt>
                <c:pt idx="614">
                  <c:v>973.66113201667861</c:v>
                </c:pt>
                <c:pt idx="615">
                  <c:v>973.19062880814874</c:v>
                </c:pt>
                <c:pt idx="616">
                  <c:v>972.71578582852248</c:v>
                </c:pt>
                <c:pt idx="617">
                  <c:v>972.23659671913197</c:v>
                </c:pt>
                <c:pt idx="618">
                  <c:v>971.75305505051028</c:v>
                </c:pt>
                <c:pt idx="619">
                  <c:v>971.26515432192866</c:v>
                </c:pt>
                <c:pt idx="620">
                  <c:v>970.77288796092773</c:v>
                </c:pt>
                <c:pt idx="621">
                  <c:v>970.27624932284107</c:v>
                </c:pt>
                <c:pt idx="622">
                  <c:v>969.77523169031292</c:v>
                </c:pt>
                <c:pt idx="623">
                  <c:v>969.2698282728087</c:v>
                </c:pt>
                <c:pt idx="624">
                  <c:v>968.76003220611858</c:v>
                </c:pt>
                <c:pt idx="625">
                  <c:v>968.24583655185427</c:v>
                </c:pt>
                <c:pt idx="626">
                  <c:v>967.72723429693758</c:v>
                </c:pt>
                <c:pt idx="627">
                  <c:v>967.20421835308389</c:v>
                </c:pt>
                <c:pt idx="628">
                  <c:v>966.67678155627596</c:v>
                </c:pt>
                <c:pt idx="629">
                  <c:v>966.14491666623178</c:v>
                </c:pt>
                <c:pt idx="630">
                  <c:v>965.60861636586492</c:v>
                </c:pt>
                <c:pt idx="631">
                  <c:v>965.06787326073595</c:v>
                </c:pt>
                <c:pt idx="632">
                  <c:v>964.52267987849825</c:v>
                </c:pt>
                <c:pt idx="633">
                  <c:v>963.97302866833365</c:v>
                </c:pt>
                <c:pt idx="634">
                  <c:v>963.41891200038208</c:v>
                </c:pt>
                <c:pt idx="635">
                  <c:v>962.86032216516219</c:v>
                </c:pt>
                <c:pt idx="636">
                  <c:v>962.29725137298408</c:v>
                </c:pt>
                <c:pt idx="637">
                  <c:v>961.72969175335334</c:v>
                </c:pt>
                <c:pt idx="638">
                  <c:v>961.15763535436793</c:v>
                </c:pt>
                <c:pt idx="639">
                  <c:v>960.58107414210485</c:v>
                </c:pt>
                <c:pt idx="640">
                  <c:v>960</c:v>
                </c:pt>
                <c:pt idx="641">
                  <c:v>959.41440472821751</c:v>
                </c:pt>
                <c:pt idx="642">
                  <c:v>958.82428004301187</c:v>
                </c:pt>
                <c:pt idx="643">
                  <c:v>958.2296175760797</c:v>
                </c:pt>
                <c:pt idx="644">
                  <c:v>957.63040887390366</c:v>
                </c:pt>
                <c:pt idx="645">
                  <c:v>957.0266453970861</c:v>
                </c:pt>
                <c:pt idx="646">
                  <c:v>956.41831851967368</c:v>
                </c:pt>
                <c:pt idx="647">
                  <c:v>955.80541952847284</c:v>
                </c:pt>
                <c:pt idx="648">
                  <c:v>955.1879396223552</c:v>
                </c:pt>
                <c:pt idx="649">
                  <c:v>954.56586991155302</c:v>
                </c:pt>
                <c:pt idx="650">
                  <c:v>953.93920141694559</c:v>
                </c:pt>
                <c:pt idx="651">
                  <c:v>953.3079250693346</c:v>
                </c:pt>
                <c:pt idx="652">
                  <c:v>952.67203170870926</c:v>
                </c:pt>
                <c:pt idx="653">
                  <c:v>952.03151208350243</c:v>
                </c:pt>
                <c:pt idx="654">
                  <c:v>951.38635684983421</c:v>
                </c:pt>
                <c:pt idx="655">
                  <c:v>950.73655657074642</c:v>
                </c:pt>
                <c:pt idx="656">
                  <c:v>950.08210171542544</c:v>
                </c:pt>
                <c:pt idx="657">
                  <c:v>949.42298265841453</c:v>
                </c:pt>
                <c:pt idx="658">
                  <c:v>948.7591896788141</c:v>
                </c:pt>
                <c:pt idx="659">
                  <c:v>948.09071295947206</c:v>
                </c:pt>
                <c:pt idx="660">
                  <c:v>947.41754258616095</c:v>
                </c:pt>
                <c:pt idx="661">
                  <c:v>946.73966854674472</c:v>
                </c:pt>
                <c:pt idx="662">
                  <c:v>946.05708073033315</c:v>
                </c:pt>
                <c:pt idx="663">
                  <c:v>945.36976892642383</c:v>
                </c:pt>
                <c:pt idx="664">
                  <c:v>944.67772282403268</c:v>
                </c:pt>
                <c:pt idx="665">
                  <c:v>943.98093201081133</c:v>
                </c:pt>
                <c:pt idx="666">
                  <c:v>943.279385972152</c:v>
                </c:pt>
                <c:pt idx="667">
                  <c:v>942.57307409027976</c:v>
                </c:pt>
                <c:pt idx="668">
                  <c:v>941.86198564333188</c:v>
                </c:pt>
                <c:pt idx="669">
                  <c:v>941.14610980442353</c:v>
                </c:pt>
                <c:pt idx="670">
                  <c:v>940.42543564069979</c:v>
                </c:pt>
                <c:pt idx="671">
                  <c:v>939.69995211237506</c:v>
                </c:pt>
                <c:pt idx="672">
                  <c:v>938.96964807175743</c:v>
                </c:pt>
                <c:pt idx="673">
                  <c:v>938.2345122622595</c:v>
                </c:pt>
                <c:pt idx="674">
                  <c:v>937.49453331739483</c:v>
                </c:pt>
                <c:pt idx="675">
                  <c:v>936.74969975975978</c:v>
                </c:pt>
                <c:pt idx="676">
                  <c:v>936</c:v>
                </c:pt>
                <c:pt idx="677">
                  <c:v>935.24542233576312</c:v>
                </c:pt>
                <c:pt idx="678">
                  <c:v>934.48595495063489</c:v>
                </c:pt>
                <c:pt idx="679">
                  <c:v>933.72158591306004</c:v>
                </c:pt>
                <c:pt idx="680">
                  <c:v>932.95230317524806</c:v>
                </c:pt>
                <c:pt idx="681">
                  <c:v>932.17809457206192</c:v>
                </c:pt>
                <c:pt idx="682">
                  <c:v>931.39894781989096</c:v>
                </c:pt>
                <c:pt idx="683">
                  <c:v>930.61485051550733</c:v>
                </c:pt>
                <c:pt idx="684">
                  <c:v>929.82579013490476</c:v>
                </c:pt>
                <c:pt idx="685">
                  <c:v>929.03175403212128</c:v>
                </c:pt>
                <c:pt idx="686">
                  <c:v>928.23272943804341</c:v>
                </c:pt>
                <c:pt idx="687">
                  <c:v>927.42870345919312</c:v>
                </c:pt>
                <c:pt idx="688">
                  <c:v>926.61966307649652</c:v>
                </c:pt>
                <c:pt idx="689">
                  <c:v>925.80559514403456</c:v>
                </c:pt>
                <c:pt idx="690">
                  <c:v>924.98648638777422</c:v>
                </c:pt>
                <c:pt idx="691">
                  <c:v>924.16232340428166</c:v>
                </c:pt>
                <c:pt idx="692">
                  <c:v>923.33309265941512</c:v>
                </c:pt>
                <c:pt idx="693">
                  <c:v>922.49878048699884</c:v>
                </c:pt>
                <c:pt idx="694">
                  <c:v>921.65937308747641</c:v>
                </c:pt>
                <c:pt idx="695">
                  <c:v>920.81485652654408</c:v>
                </c:pt>
                <c:pt idx="696">
                  <c:v>919.96521673376321</c:v>
                </c:pt>
                <c:pt idx="697">
                  <c:v>919.11043950115152</c:v>
                </c:pt>
                <c:pt idx="698">
                  <c:v>918.25051048175305</c:v>
                </c:pt>
                <c:pt idx="699">
                  <c:v>917.38541518818579</c:v>
                </c:pt>
                <c:pt idx="700">
                  <c:v>916.51513899116799</c:v>
                </c:pt>
                <c:pt idx="701">
                  <c:v>915.63966711802084</c:v>
                </c:pt>
                <c:pt idx="702">
                  <c:v>914.75898465114847</c:v>
                </c:pt>
                <c:pt idx="703">
                  <c:v>913.87307652649451</c:v>
                </c:pt>
                <c:pt idx="704">
                  <c:v>912.98192753197475</c:v>
                </c:pt>
                <c:pt idx="705">
                  <c:v>912.08552230588555</c:v>
                </c:pt>
                <c:pt idx="706">
                  <c:v>911.18384533528683</c:v>
                </c:pt>
                <c:pt idx="707">
                  <c:v>910.2768809543611</c:v>
                </c:pt>
                <c:pt idx="708">
                  <c:v>909.36461334274497</c:v>
                </c:pt>
                <c:pt idx="709">
                  <c:v>908.44702652383648</c:v>
                </c:pt>
                <c:pt idx="710">
                  <c:v>907.52410436307423</c:v>
                </c:pt>
                <c:pt idx="711">
                  <c:v>906.5958305661901</c:v>
                </c:pt>
                <c:pt idx="712">
                  <c:v>905.66218867743396</c:v>
                </c:pt>
                <c:pt idx="713">
                  <c:v>904.72316207777067</c:v>
                </c:pt>
                <c:pt idx="714">
                  <c:v>903.77873398304746</c:v>
                </c:pt>
                <c:pt idx="715">
                  <c:v>902.82888744213324</c:v>
                </c:pt>
                <c:pt idx="716">
                  <c:v>901.87360533502692</c:v>
                </c:pt>
                <c:pt idx="717">
                  <c:v>900.91287037093662</c:v>
                </c:pt>
                <c:pt idx="718">
                  <c:v>899.94666508632611</c:v>
                </c:pt>
                <c:pt idx="719">
                  <c:v>898.97497184293184</c:v>
                </c:pt>
                <c:pt idx="720">
                  <c:v>897.99777282574598</c:v>
                </c:pt>
                <c:pt idx="721">
                  <c:v>897.01505004096782</c:v>
                </c:pt>
                <c:pt idx="722">
                  <c:v>896.02678531392132</c:v>
                </c:pt>
                <c:pt idx="723">
                  <c:v>895.03296028693831</c:v>
                </c:pt>
                <c:pt idx="724">
                  <c:v>894.03355641720736</c:v>
                </c:pt>
                <c:pt idx="725">
                  <c:v>893.02855497458756</c:v>
                </c:pt>
                <c:pt idx="726">
                  <c:v>892.01793703938483</c:v>
                </c:pt>
                <c:pt idx="727">
                  <c:v>891.00168350009301</c:v>
                </c:pt>
                <c:pt idx="728">
                  <c:v>889.97977505109634</c:v>
                </c:pt>
                <c:pt idx="729">
                  <c:v>888.95219219033368</c:v>
                </c:pt>
                <c:pt idx="730">
                  <c:v>887.91891521692457</c:v>
                </c:pt>
                <c:pt idx="731">
                  <c:v>886.87992422875379</c:v>
                </c:pt>
                <c:pt idx="732">
                  <c:v>885.83519912001691</c:v>
                </c:pt>
                <c:pt idx="733">
                  <c:v>884.7847195787233</c:v>
                </c:pt>
                <c:pt idx="734">
                  <c:v>883.72846508415694</c:v>
                </c:pt>
                <c:pt idx="735">
                  <c:v>882.66641490429436</c:v>
                </c:pt>
                <c:pt idx="736">
                  <c:v>881.59854809317824</c:v>
                </c:pt>
                <c:pt idx="737">
                  <c:v>880.52484348824589</c:v>
                </c:pt>
                <c:pt idx="738">
                  <c:v>879.44527970761203</c:v>
                </c:pt>
                <c:pt idx="739">
                  <c:v>878.35983514730458</c:v>
                </c:pt>
                <c:pt idx="740">
                  <c:v>877.2684879784523</c:v>
                </c:pt>
                <c:pt idx="741">
                  <c:v>876.17121614442465</c:v>
                </c:pt>
                <c:pt idx="742">
                  <c:v>875.06799735791958</c:v>
                </c:pt>
                <c:pt idx="743">
                  <c:v>873.95880909800314</c:v>
                </c:pt>
                <c:pt idx="744">
                  <c:v>872.84362860709473</c:v>
                </c:pt>
                <c:pt idx="745">
                  <c:v>871.72243288790037</c:v>
                </c:pt>
                <c:pt idx="746">
                  <c:v>870.59519870029146</c:v>
                </c:pt>
                <c:pt idx="747">
                  <c:v>869.46190255812814</c:v>
                </c:pt>
                <c:pt idx="748">
                  <c:v>868.32252072602614</c:v>
                </c:pt>
                <c:pt idx="749">
                  <c:v>867.17702921606497</c:v>
                </c:pt>
                <c:pt idx="750">
                  <c:v>866.02540378443859</c:v>
                </c:pt>
                <c:pt idx="751">
                  <c:v>864.86761992804429</c:v>
                </c:pt>
                <c:pt idx="752">
                  <c:v>863.70365288100993</c:v>
                </c:pt>
                <c:pt idx="753">
                  <c:v>862.53347761115913</c:v>
                </c:pt>
                <c:pt idx="754">
                  <c:v>861.35706881641136</c:v>
                </c:pt>
                <c:pt idx="755">
                  <c:v>860.17440092111553</c:v>
                </c:pt>
                <c:pt idx="756">
                  <c:v>858.98544807231747</c:v>
                </c:pt>
                <c:pt idx="757">
                  <c:v>857.79018413595759</c:v>
                </c:pt>
                <c:pt idx="758">
                  <c:v>856.58858269299856</c:v>
                </c:pt>
                <c:pt idx="759">
                  <c:v>855.3806170354809</c:v>
                </c:pt>
                <c:pt idx="760">
                  <c:v>854.16626016250484</c:v>
                </c:pt>
                <c:pt idx="761">
                  <c:v>852.94548477613739</c:v>
                </c:pt>
                <c:pt idx="762">
                  <c:v>851.71826327724125</c:v>
                </c:pt>
                <c:pt idx="763">
                  <c:v>850.48456776122634</c:v>
                </c:pt>
                <c:pt idx="764">
                  <c:v>849.24437001371996</c:v>
                </c:pt>
                <c:pt idx="765">
                  <c:v>847.9976415061542</c:v>
                </c:pt>
                <c:pt idx="766">
                  <c:v>846.74435339127001</c:v>
                </c:pt>
                <c:pt idx="767">
                  <c:v>845.48447649853392</c:v>
                </c:pt>
                <c:pt idx="768">
                  <c:v>844.21798132946685</c:v>
                </c:pt>
                <c:pt idx="769">
                  <c:v>842.94483805288235</c:v>
                </c:pt>
                <c:pt idx="770">
                  <c:v>841.66501650003249</c:v>
                </c:pt>
                <c:pt idx="771">
                  <c:v>840.37848615965891</c:v>
                </c:pt>
                <c:pt idx="772">
                  <c:v>839.08521617294628</c:v>
                </c:pt>
                <c:pt idx="773">
                  <c:v>837.78517532837736</c:v>
                </c:pt>
                <c:pt idx="774">
                  <c:v>836.47833205648544</c:v>
                </c:pt>
                <c:pt idx="775">
                  <c:v>835.16465442450328</c:v>
                </c:pt>
                <c:pt idx="776">
                  <c:v>833.84411013090448</c:v>
                </c:pt>
                <c:pt idx="777">
                  <c:v>832.51666649983656</c:v>
                </c:pt>
                <c:pt idx="778">
                  <c:v>831.18229047544082</c:v>
                </c:pt>
                <c:pt idx="779">
                  <c:v>829.84094861605854</c:v>
                </c:pt>
                <c:pt idx="780">
                  <c:v>828.49260708831912</c:v>
                </c:pt>
                <c:pt idx="781">
                  <c:v>827.13723166110708</c:v>
                </c:pt>
                <c:pt idx="782">
                  <c:v>825.7747876994066</c:v>
                </c:pt>
                <c:pt idx="783">
                  <c:v>824.40524015801839</c:v>
                </c:pt>
                <c:pt idx="784">
                  <c:v>823.02855357514784</c:v>
                </c:pt>
                <c:pt idx="785">
                  <c:v>821.64469206585886</c:v>
                </c:pt>
                <c:pt idx="786">
                  <c:v>820.25361931539203</c:v>
                </c:pt>
                <c:pt idx="787">
                  <c:v>818.85529857234235</c:v>
                </c:pt>
                <c:pt idx="788">
                  <c:v>817.44969264169401</c:v>
                </c:pt>
                <c:pt idx="789">
                  <c:v>816.03676387770668</c:v>
                </c:pt>
                <c:pt idx="790">
                  <c:v>814.61647417665199</c:v>
                </c:pt>
                <c:pt idx="791">
                  <c:v>813.18878496939442</c:v>
                </c:pt>
                <c:pt idx="792">
                  <c:v>811.75365721381263</c:v>
                </c:pt>
                <c:pt idx="793">
                  <c:v>810.31105138705846</c:v>
                </c:pt>
                <c:pt idx="794">
                  <c:v>808.86092747764746</c:v>
                </c:pt>
                <c:pt idx="795">
                  <c:v>807.40324497737811</c:v>
                </c:pt>
                <c:pt idx="796">
                  <c:v>805.93796287307373</c:v>
                </c:pt>
                <c:pt idx="797">
                  <c:v>804.46503963814359</c:v>
                </c:pt>
                <c:pt idx="798">
                  <c:v>802.98443322395735</c:v>
                </c:pt>
                <c:pt idx="799">
                  <c:v>801.49610105102818</c:v>
                </c:pt>
                <c:pt idx="800">
                  <c:v>800</c:v>
                </c:pt>
                <c:pt idx="801">
                  <c:v>798.49608640243196</c:v>
                </c:pt>
                <c:pt idx="802">
                  <c:v>796.9843160313759</c:v>
                </c:pt>
                <c:pt idx="803">
                  <c:v>795.46464409174087</c:v>
                </c:pt>
                <c:pt idx="804">
                  <c:v>793.93702521043826</c:v>
                </c:pt>
                <c:pt idx="805">
                  <c:v>792.40141342630125</c:v>
                </c:pt>
                <c:pt idx="806">
                  <c:v>790.857762179774</c:v>
                </c:pt>
                <c:pt idx="807">
                  <c:v>789.30602430236149</c:v>
                </c:pt>
                <c:pt idx="808">
                  <c:v>787.74615200583492</c:v>
                </c:pt>
                <c:pt idx="809">
                  <c:v>786.17809687118609</c:v>
                </c:pt>
                <c:pt idx="810">
                  <c:v>784.60180983732118</c:v>
                </c:pt>
                <c:pt idx="811">
                  <c:v>783.01724118949005</c:v>
                </c:pt>
                <c:pt idx="812">
                  <c:v>781.4243405474391</c:v>
                </c:pt>
                <c:pt idx="813">
                  <c:v>779.8230568532839</c:v>
                </c:pt>
                <c:pt idx="814">
                  <c:v>778.21333835909036</c:v>
                </c:pt>
                <c:pt idx="815">
                  <c:v>776.59513261415691</c:v>
                </c:pt>
                <c:pt idx="816">
                  <c:v>774.96838645198943</c:v>
                </c:pt>
                <c:pt idx="817">
                  <c:v>773.33304597695815</c:v>
                </c:pt>
                <c:pt idx="818">
                  <c:v>771.68905655062906</c:v>
                </c:pt>
                <c:pt idx="819">
                  <c:v>770.03636277775865</c:v>
                </c:pt>
                <c:pt idx="820">
                  <c:v>768.37490849194182</c:v>
                </c:pt>
                <c:pt idx="821">
                  <c:v>766.70463674090297</c:v>
                </c:pt>
                <c:pt idx="822">
                  <c:v>765.0254897714193</c:v>
                </c:pt>
                <c:pt idx="823">
                  <c:v>763.33740901386454</c:v>
                </c:pt>
                <c:pt idx="824">
                  <c:v>761.6403350663619</c:v>
                </c:pt>
                <c:pt idx="825">
                  <c:v>759.9342076785332</c:v>
                </c:pt>
                <c:pt idx="826">
                  <c:v>758.21896573483309</c:v>
                </c:pt>
                <c:pt idx="827">
                  <c:v>756.49454723745362</c:v>
                </c:pt>
                <c:pt idx="828">
                  <c:v>754.76088928878664</c:v>
                </c:pt>
                <c:pt idx="829">
                  <c:v>753.01792807342906</c:v>
                </c:pt>
                <c:pt idx="830">
                  <c:v>751.26559883971788</c:v>
                </c:pt>
                <c:pt idx="831">
                  <c:v>749.50383588077784</c:v>
                </c:pt>
                <c:pt idx="832">
                  <c:v>747.73257251506709</c:v>
                </c:pt>
                <c:pt idx="833">
                  <c:v>745.95174106640434</c:v>
                </c:pt>
                <c:pt idx="834">
                  <c:v>744.16127284346101</c:v>
                </c:pt>
                <c:pt idx="835">
                  <c:v>742.36109811869858</c:v>
                </c:pt>
                <c:pt idx="836">
                  <c:v>740.55114610673581</c:v>
                </c:pt>
                <c:pt idx="837">
                  <c:v>738.73134494212445</c:v>
                </c:pt>
                <c:pt idx="838">
                  <c:v>736.90162165651395</c:v>
                </c:pt>
                <c:pt idx="839">
                  <c:v>735.06190215518586</c:v>
                </c:pt>
                <c:pt idx="840">
                  <c:v>733.21211119293434</c:v>
                </c:pt>
                <c:pt idx="841">
                  <c:v>731.35217234927256</c:v>
                </c:pt>
                <c:pt idx="842">
                  <c:v>729.48200800293898</c:v>
                </c:pt>
                <c:pt idx="843">
                  <c:v>727.60153930568345</c:v>
                </c:pt>
                <c:pt idx="844">
                  <c:v>725.71068615530248</c:v>
                </c:pt>
                <c:pt idx="845">
                  <c:v>723.80936716790291</c:v>
                </c:pt>
                <c:pt idx="846">
                  <c:v>721.89749964936163</c:v>
                </c:pt>
                <c:pt idx="847">
                  <c:v>719.97499956595721</c:v>
                </c:pt>
                <c:pt idx="848">
                  <c:v>718.04178151413998</c:v>
                </c:pt>
                <c:pt idx="849">
                  <c:v>716.09775868941244</c:v>
                </c:pt>
                <c:pt idx="850">
                  <c:v>714.14284285428505</c:v>
                </c:pt>
                <c:pt idx="851">
                  <c:v>712.17694430527581</c:v>
                </c:pt>
                <c:pt idx="852">
                  <c:v>710.19997183891803</c:v>
                </c:pt>
                <c:pt idx="853">
                  <c:v>708.21183271673738</c:v>
                </c:pt>
                <c:pt idx="854">
                  <c:v>706.21243262916289</c:v>
                </c:pt>
                <c:pt idx="855">
                  <c:v>704.20167565833015</c:v>
                </c:pt>
                <c:pt idx="856">
                  <c:v>702.1794642397341</c:v>
                </c:pt>
                <c:pt idx="857">
                  <c:v>700.14569912268973</c:v>
                </c:pt>
                <c:pt idx="858">
                  <c:v>698.10027932955302</c:v>
                </c:pt>
                <c:pt idx="859">
                  <c:v>696.04310211365498</c:v>
                </c:pt>
                <c:pt idx="860">
                  <c:v>693.97406291589891</c:v>
                </c:pt>
                <c:pt idx="861">
                  <c:v>691.89305531996774</c:v>
                </c:pt>
                <c:pt idx="862">
                  <c:v>689.79997100608807</c:v>
                </c:pt>
                <c:pt idx="863">
                  <c:v>687.69469970329135</c:v>
                </c:pt>
                <c:pt idx="864">
                  <c:v>685.57712914011358</c:v>
                </c:pt>
                <c:pt idx="865">
                  <c:v>683.44714499367103</c:v>
                </c:pt>
                <c:pt idx="866">
                  <c:v>681.30463083704342</c:v>
                </c:pt>
                <c:pt idx="867">
                  <c:v>679.1494680848981</c:v>
                </c:pt>
                <c:pt idx="868">
                  <c:v>676.98153593728091</c:v>
                </c:pt>
                <c:pt idx="869">
                  <c:v>674.80071132149828</c:v>
                </c:pt>
                <c:pt idx="870">
                  <c:v>672.60686883200947</c:v>
                </c:pt>
                <c:pt idx="871">
                  <c:v>670.39988066824719</c:v>
                </c:pt>
                <c:pt idx="872">
                  <c:v>668.17961657027524</c:v>
                </c:pt>
                <c:pt idx="873">
                  <c:v>665.94594375219378</c:v>
                </c:pt>
                <c:pt idx="874">
                  <c:v>663.69872683319204</c:v>
                </c:pt>
                <c:pt idx="875">
                  <c:v>661.43782776614762</c:v>
                </c:pt>
                <c:pt idx="876">
                  <c:v>659.16310576366459</c:v>
                </c:pt>
                <c:pt idx="877">
                  <c:v>656.87441722143512</c:v>
                </c:pt>
                <c:pt idx="878">
                  <c:v>654.57161563880845</c:v>
                </c:pt>
                <c:pt idx="879">
                  <c:v>652.25455153643816</c:v>
                </c:pt>
                <c:pt idx="880">
                  <c:v>649.92307237087687</c:v>
                </c:pt>
                <c:pt idx="881">
                  <c:v>647.57702244597897</c:v>
                </c:pt>
                <c:pt idx="882">
                  <c:v>645.21624282096309</c:v>
                </c:pt>
                <c:pt idx="883">
                  <c:v>642.84057121497858</c:v>
                </c:pt>
                <c:pt idx="884">
                  <c:v>640.44984190801392</c:v>
                </c:pt>
                <c:pt idx="885">
                  <c:v>638.04388563797079</c:v>
                </c:pt>
                <c:pt idx="886">
                  <c:v>635.62252949372396</c:v>
                </c:pt>
                <c:pt idx="887">
                  <c:v>633.18559680397027</c:v>
                </c:pt>
                <c:pt idx="888">
                  <c:v>630.7329070216648</c:v>
                </c:pt>
                <c:pt idx="889">
                  <c:v>628.26427560382581</c:v>
                </c:pt>
                <c:pt idx="890">
                  <c:v>625.77951388648057</c:v>
                </c:pt>
                <c:pt idx="891">
                  <c:v>623.27842895450829</c:v>
                </c:pt>
                <c:pt idx="892">
                  <c:v>620.76082350612296</c:v>
                </c:pt>
                <c:pt idx="893">
                  <c:v>618.22649571172542</c:v>
                </c:pt>
                <c:pt idx="894">
                  <c:v>615.67523906683141</c:v>
                </c:pt>
                <c:pt idx="895">
                  <c:v>613.10684223877331</c:v>
                </c:pt>
                <c:pt idx="896">
                  <c:v>610.52108890684519</c:v>
                </c:pt>
                <c:pt idx="897">
                  <c:v>607.91775759554844</c:v>
                </c:pt>
                <c:pt idx="898">
                  <c:v>605.2966215005664</c:v>
                </c:pt>
                <c:pt idx="899">
                  <c:v>602.65744830707933</c:v>
                </c:pt>
                <c:pt idx="900">
                  <c:v>600</c:v>
                </c:pt>
                <c:pt idx="901">
                  <c:v>597.32403266568804</c:v>
                </c:pt>
                <c:pt idx="902">
                  <c:v>594.62929628466838</c:v>
                </c:pt>
                <c:pt idx="903">
                  <c:v>591.91553451484947</c:v>
                </c:pt>
                <c:pt idx="904">
                  <c:v>589.18248446470295</c:v>
                </c:pt>
                <c:pt idx="905">
                  <c:v>586.42987645582991</c:v>
                </c:pt>
                <c:pt idx="906">
                  <c:v>583.65743377429885</c:v>
                </c:pt>
                <c:pt idx="907">
                  <c:v>580.86487241009854</c:v>
                </c:pt>
                <c:pt idx="908">
                  <c:v>578.05190078400403</c:v>
                </c:pt>
                <c:pt idx="909">
                  <c:v>575.21821946110151</c:v>
                </c:pt>
                <c:pt idx="910">
                  <c:v>572.36352085016733</c:v>
                </c:pt>
                <c:pt idx="911">
                  <c:v>569.48748888803516</c:v>
                </c:pt>
                <c:pt idx="912">
                  <c:v>566.58979870802477</c:v>
                </c:pt>
                <c:pt idx="913">
                  <c:v>563.67011629143508</c:v>
                </c:pt>
                <c:pt idx="914">
                  <c:v>560.72809810103149</c:v>
                </c:pt>
                <c:pt idx="915">
                  <c:v>557.76339069537357</c:v>
                </c:pt>
                <c:pt idx="916">
                  <c:v>554.77563032274588</c:v>
                </c:pt>
                <c:pt idx="917">
                  <c:v>551.76444249335236</c:v>
                </c:pt>
                <c:pt idx="918">
                  <c:v>548.72944152833645</c:v>
                </c:pt>
                <c:pt idx="919">
                  <c:v>545.67023008406829</c:v>
                </c:pt>
                <c:pt idx="920">
                  <c:v>542.58639865002147</c:v>
                </c:pt>
                <c:pt idx="921">
                  <c:v>539.47752501842001</c:v>
                </c:pt>
                <c:pt idx="922">
                  <c:v>536.34317372368969</c:v>
                </c:pt>
                <c:pt idx="923">
                  <c:v>533.18289544958213</c:v>
                </c:pt>
                <c:pt idx="924">
                  <c:v>529.99622640166035</c:v>
                </c:pt>
                <c:pt idx="925">
                  <c:v>526.78268764263692</c:v>
                </c:pt>
                <c:pt idx="926">
                  <c:v>523.54178438783663</c:v>
                </c:pt>
                <c:pt idx="927">
                  <c:v>520.27300525781652</c:v>
                </c:pt>
                <c:pt idx="928">
                  <c:v>516.97582148491233</c:v>
                </c:pt>
                <c:pt idx="929">
                  <c:v>513.64968607018534</c:v>
                </c:pt>
                <c:pt idx="930">
                  <c:v>510.29403288692293</c:v>
                </c:pt>
                <c:pt idx="931">
                  <c:v>506.90827572648681</c:v>
                </c:pt>
                <c:pt idx="932">
                  <c:v>503.49180728190601</c:v>
                </c:pt>
                <c:pt idx="933">
                  <c:v>500.04399806417035</c:v>
                </c:pt>
                <c:pt idx="934">
                  <c:v>496.56419524569026</c:v>
                </c:pt>
                <c:pt idx="935">
                  <c:v>493.05172142484201</c:v>
                </c:pt>
                <c:pt idx="936">
                  <c:v>489.50587330490737</c:v>
                </c:pt>
                <c:pt idx="937">
                  <c:v>485.92592028003611</c:v>
                </c:pt>
                <c:pt idx="938">
                  <c:v>482.31110292009657</c:v>
                </c:pt>
                <c:pt idx="939">
                  <c:v>478.66063134542412</c:v>
                </c:pt>
                <c:pt idx="940">
                  <c:v>474.97368348151667</c:v>
                </c:pt>
                <c:pt idx="941">
                  <c:v>471.24940318264595</c:v>
                </c:pt>
                <c:pt idx="942">
                  <c:v>467.48689821213173</c:v>
                </c:pt>
                <c:pt idx="943">
                  <c:v>463.68523806565162</c:v>
                </c:pt>
                <c:pt idx="944">
                  <c:v>459.84345162239725</c:v>
                </c:pt>
                <c:pt idx="945">
                  <c:v>455.96052460711991</c:v>
                </c:pt>
                <c:pt idx="946">
                  <c:v>452.03539684409674</c:v>
                </c:pt>
                <c:pt idx="947">
                  <c:v>448.06695928175736</c:v>
                </c:pt>
                <c:pt idx="948">
                  <c:v>444.05405076409335</c:v>
                </c:pt>
                <c:pt idx="949">
                  <c:v>439.99545452197572</c:v>
                </c:pt>
                <c:pt idx="950">
                  <c:v>435.88989435406734</c:v>
                </c:pt>
                <c:pt idx="951">
                  <c:v>431.73603046305971</c:v>
                </c:pt>
                <c:pt idx="952">
                  <c:v>427.5324549083964</c:v>
                </c:pt>
                <c:pt idx="953">
                  <c:v>423.27768663136499</c:v>
                </c:pt>
                <c:pt idx="954">
                  <c:v>418.9701660023062</c:v>
                </c:pt>
                <c:pt idx="955">
                  <c:v>414.60824883255759</c:v>
                </c:pt>
                <c:pt idx="956">
                  <c:v>410.19019978541661</c:v>
                </c:pt>
                <c:pt idx="957">
                  <c:v>405.7141851106515</c:v>
                </c:pt>
                <c:pt idx="958">
                  <c:v>401.17826461561947</c:v>
                </c:pt>
                <c:pt idx="959">
                  <c:v>396.58038277252194</c:v>
                </c:pt>
                <c:pt idx="960">
                  <c:v>391.91835884530849</c:v>
                </c:pt>
                <c:pt idx="961">
                  <c:v>387.18987590070071</c:v>
                </c:pt>
                <c:pt idx="962">
                  <c:v>382.39246854508002</c:v>
                </c:pt>
                <c:pt idx="963">
                  <c:v>377.52350920174496</c:v>
                </c:pt>
                <c:pt idx="964">
                  <c:v>372.58019271024057</c:v>
                </c:pt>
                <c:pt idx="965">
                  <c:v>367.55951898978213</c:v>
                </c:pt>
                <c:pt idx="966">
                  <c:v>362.45827346054608</c:v>
                </c:pt>
                <c:pt idx="967">
                  <c:v>357.27300485762987</c:v>
                </c:pt>
                <c:pt idx="968">
                  <c:v>352</c:v>
                </c:pt>
                <c:pt idx="969">
                  <c:v>346.63525498714063</c:v>
                </c:pt>
                <c:pt idx="970">
                  <c:v>341.17444218463959</c:v>
                </c:pt>
                <c:pt idx="971">
                  <c:v>335.61287222036049</c:v>
                </c:pt>
                <c:pt idx="972">
                  <c:v>329.94545003682049</c:v>
                </c:pt>
                <c:pt idx="973">
                  <c:v>324.16662382176236</c:v>
                </c:pt>
                <c:pt idx="974">
                  <c:v>318.2703253525217</c:v>
                </c:pt>
                <c:pt idx="975">
                  <c:v>312.24989991991993</c:v>
                </c:pt>
                <c:pt idx="976">
                  <c:v>306.09802351534387</c:v>
                </c:pt>
                <c:pt idx="977">
                  <c:v>299.80660433019148</c:v>
                </c:pt>
                <c:pt idx="978">
                  <c:v>293.36666477294244</c:v>
                </c:pt>
                <c:pt idx="979">
                  <c:v>286.76819907374664</c:v>
                </c:pt>
                <c:pt idx="980">
                  <c:v>280</c:v>
                </c:pt>
                <c:pt idx="981">
                  <c:v>273.04944607158609</c:v>
                </c:pt>
                <c:pt idx="982">
                  <c:v>265.90223767392405</c:v>
                </c:pt>
                <c:pt idx="983">
                  <c:v>258.54206620973696</c:v>
                </c:pt>
                <c:pt idx="984">
                  <c:v>250.95019426172996</c:v>
                </c:pt>
                <c:pt idx="985">
                  <c:v>243.10491562286435</c:v>
                </c:pt>
                <c:pt idx="986">
                  <c:v>234.98085028359225</c:v>
                </c:pt>
                <c:pt idx="987">
                  <c:v>226.54800815721157</c:v>
                </c:pt>
                <c:pt idx="988">
                  <c:v>217.77052142105919</c:v>
                </c:pt>
                <c:pt idx="989">
                  <c:v>208.60488968382307</c:v>
                </c:pt>
                <c:pt idx="990">
                  <c:v>198.997487421324</c:v>
                </c:pt>
                <c:pt idx="991">
                  <c:v>188.88091486436633</c:v>
                </c:pt>
                <c:pt idx="992">
                  <c:v>178.16845961056069</c:v>
                </c:pt>
                <c:pt idx="993">
                  <c:v>166.74531477675768</c:v>
                </c:pt>
                <c:pt idx="994">
                  <c:v>154.45387661046257</c:v>
                </c:pt>
                <c:pt idx="995">
                  <c:v>141.06735979665885</c:v>
                </c:pt>
                <c:pt idx="996">
                  <c:v>126.23787070447599</c:v>
                </c:pt>
                <c:pt idx="997">
                  <c:v>109.38007131100254</c:v>
                </c:pt>
                <c:pt idx="998">
                  <c:v>89.353231614754705</c:v>
                </c:pt>
                <c:pt idx="999">
                  <c:v>63.21392251711643</c:v>
                </c:pt>
              </c:numCache>
            </c:numRef>
          </c:xVal>
          <c:yVal>
            <c:numRef>
              <c:f>Profil!$B$3:$B$1002</c:f>
              <c:numCache>
                <c:formatCode>General</c:formatCode>
                <c:ptCount val="10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</c:numCache>
            </c:numRef>
          </c:yVal>
          <c:smooth val="0"/>
        </c:ser>
        <c:ser>
          <c:idx val="0"/>
          <c:order val="2"/>
          <c:tx>
            <c:v>Profil_L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Profil!$D$3:$D$1002</c:f>
              <c:numCache>
                <c:formatCode>General</c:formatCode>
                <c:ptCount val="1000"/>
                <c:pt idx="0">
                  <c:v>0</c:v>
                </c:pt>
                <c:pt idx="1">
                  <c:v>-63.21392251711643</c:v>
                </c:pt>
                <c:pt idx="2">
                  <c:v>-89.353231614754705</c:v>
                </c:pt>
                <c:pt idx="3">
                  <c:v>-109.38007131100254</c:v>
                </c:pt>
                <c:pt idx="4">
                  <c:v>-126.23787070447599</c:v>
                </c:pt>
                <c:pt idx="5">
                  <c:v>-141.06735979665885</c:v>
                </c:pt>
                <c:pt idx="6">
                  <c:v>-154.45387661046257</c:v>
                </c:pt>
                <c:pt idx="7">
                  <c:v>-166.74531477675768</c:v>
                </c:pt>
                <c:pt idx="8">
                  <c:v>-178.16845961056069</c:v>
                </c:pt>
                <c:pt idx="9">
                  <c:v>-188.88091486436633</c:v>
                </c:pt>
                <c:pt idx="10">
                  <c:v>-198.997487421324</c:v>
                </c:pt>
                <c:pt idx="11">
                  <c:v>-208.60488968382307</c:v>
                </c:pt>
                <c:pt idx="12">
                  <c:v>-217.77052142105919</c:v>
                </c:pt>
                <c:pt idx="13">
                  <c:v>-226.54800815721157</c:v>
                </c:pt>
                <c:pt idx="14">
                  <c:v>-234.98085028359225</c:v>
                </c:pt>
                <c:pt idx="15">
                  <c:v>-243.10491562286435</c:v>
                </c:pt>
                <c:pt idx="16">
                  <c:v>-250.95019426172996</c:v>
                </c:pt>
                <c:pt idx="17">
                  <c:v>-258.54206620973696</c:v>
                </c:pt>
                <c:pt idx="18">
                  <c:v>-265.90223767392405</c:v>
                </c:pt>
                <c:pt idx="19">
                  <c:v>-273.04944607158609</c:v>
                </c:pt>
                <c:pt idx="20">
                  <c:v>-280</c:v>
                </c:pt>
                <c:pt idx="21">
                  <c:v>-286.76819907374664</c:v>
                </c:pt>
                <c:pt idx="22">
                  <c:v>-293.36666477294244</c:v>
                </c:pt>
                <c:pt idx="23">
                  <c:v>-299.80660433019148</c:v>
                </c:pt>
                <c:pt idx="24">
                  <c:v>-306.09802351534387</c:v>
                </c:pt>
                <c:pt idx="25">
                  <c:v>-312.24989991991993</c:v>
                </c:pt>
                <c:pt idx="26">
                  <c:v>-318.2703253525217</c:v>
                </c:pt>
                <c:pt idx="27">
                  <c:v>-324.16662382176236</c:v>
                </c:pt>
                <c:pt idx="28">
                  <c:v>-329.94545003682049</c:v>
                </c:pt>
                <c:pt idx="29">
                  <c:v>-335.61287222036049</c:v>
                </c:pt>
                <c:pt idx="30">
                  <c:v>-341.17444218463959</c:v>
                </c:pt>
                <c:pt idx="31">
                  <c:v>-346.63525498714063</c:v>
                </c:pt>
                <c:pt idx="32">
                  <c:v>-352</c:v>
                </c:pt>
                <c:pt idx="33">
                  <c:v>-357.27300485762987</c:v>
                </c:pt>
                <c:pt idx="34">
                  <c:v>-362.45827346054608</c:v>
                </c:pt>
                <c:pt idx="35">
                  <c:v>-367.55951898978213</c:v>
                </c:pt>
                <c:pt idx="36">
                  <c:v>-372.58019271024057</c:v>
                </c:pt>
                <c:pt idx="37">
                  <c:v>-377.52350920174496</c:v>
                </c:pt>
                <c:pt idx="38">
                  <c:v>-382.39246854508002</c:v>
                </c:pt>
                <c:pt idx="39">
                  <c:v>-387.18987590070071</c:v>
                </c:pt>
                <c:pt idx="40">
                  <c:v>-391.91835884530849</c:v>
                </c:pt>
                <c:pt idx="41">
                  <c:v>-396.58038277252194</c:v>
                </c:pt>
                <c:pt idx="42">
                  <c:v>-401.17826461561947</c:v>
                </c:pt>
                <c:pt idx="43">
                  <c:v>-405.7141851106515</c:v>
                </c:pt>
                <c:pt idx="44">
                  <c:v>-410.19019978541661</c:v>
                </c:pt>
                <c:pt idx="45">
                  <c:v>-414.60824883255759</c:v>
                </c:pt>
                <c:pt idx="46">
                  <c:v>-418.9701660023062</c:v>
                </c:pt>
                <c:pt idx="47">
                  <c:v>-423.27768663136499</c:v>
                </c:pt>
                <c:pt idx="48">
                  <c:v>-427.5324549083964</c:v>
                </c:pt>
                <c:pt idx="49">
                  <c:v>-431.73603046305971</c:v>
                </c:pt>
                <c:pt idx="50">
                  <c:v>-435.88989435406734</c:v>
                </c:pt>
                <c:pt idx="51">
                  <c:v>-439.99545452197572</c:v>
                </c:pt>
                <c:pt idx="52">
                  <c:v>-444.05405076409335</c:v>
                </c:pt>
                <c:pt idx="53">
                  <c:v>-448.06695928175736</c:v>
                </c:pt>
                <c:pt idx="54">
                  <c:v>-452.03539684409674</c:v>
                </c:pt>
                <c:pt idx="55">
                  <c:v>-455.96052460711991</c:v>
                </c:pt>
                <c:pt idx="56">
                  <c:v>-459.84345162239725</c:v>
                </c:pt>
                <c:pt idx="57">
                  <c:v>-463.68523806565162</c:v>
                </c:pt>
                <c:pt idx="58">
                  <c:v>-467.48689821213173</c:v>
                </c:pt>
                <c:pt idx="59">
                  <c:v>-471.24940318264595</c:v>
                </c:pt>
                <c:pt idx="60">
                  <c:v>-474.97368348151667</c:v>
                </c:pt>
                <c:pt idx="61">
                  <c:v>-478.66063134542412</c:v>
                </c:pt>
                <c:pt idx="62">
                  <c:v>-482.31110292009657</c:v>
                </c:pt>
                <c:pt idx="63">
                  <c:v>-485.92592028003611</c:v>
                </c:pt>
                <c:pt idx="64">
                  <c:v>-489.50587330490737</c:v>
                </c:pt>
                <c:pt idx="65">
                  <c:v>-493.05172142484201</c:v>
                </c:pt>
                <c:pt idx="66">
                  <c:v>-496.56419524569026</c:v>
                </c:pt>
                <c:pt idx="67">
                  <c:v>-500.04399806417035</c:v>
                </c:pt>
                <c:pt idx="68">
                  <c:v>-503.49180728190601</c:v>
                </c:pt>
                <c:pt idx="69">
                  <c:v>-506.90827572648681</c:v>
                </c:pt>
                <c:pt idx="70">
                  <c:v>-510.29403288692293</c:v>
                </c:pt>
                <c:pt idx="71">
                  <c:v>-513.64968607018534</c:v>
                </c:pt>
                <c:pt idx="72">
                  <c:v>-516.97582148491233</c:v>
                </c:pt>
                <c:pt idx="73">
                  <c:v>-520.27300525781652</c:v>
                </c:pt>
                <c:pt idx="74">
                  <c:v>-523.54178438783663</c:v>
                </c:pt>
                <c:pt idx="75">
                  <c:v>-526.78268764263692</c:v>
                </c:pt>
                <c:pt idx="76">
                  <c:v>-529.99622640166035</c:v>
                </c:pt>
                <c:pt idx="77">
                  <c:v>-533.18289544958213</c:v>
                </c:pt>
                <c:pt idx="78">
                  <c:v>-536.34317372368969</c:v>
                </c:pt>
                <c:pt idx="79">
                  <c:v>-539.47752501842001</c:v>
                </c:pt>
                <c:pt idx="80">
                  <c:v>-542.58639865002147</c:v>
                </c:pt>
                <c:pt idx="81">
                  <c:v>-545.67023008406829</c:v>
                </c:pt>
                <c:pt idx="82">
                  <c:v>-548.72944152833645</c:v>
                </c:pt>
                <c:pt idx="83">
                  <c:v>-551.76444249335236</c:v>
                </c:pt>
                <c:pt idx="84">
                  <c:v>-554.77563032274588</c:v>
                </c:pt>
                <c:pt idx="85">
                  <c:v>-557.76339069537357</c:v>
                </c:pt>
                <c:pt idx="86">
                  <c:v>-560.72809810103149</c:v>
                </c:pt>
                <c:pt idx="87">
                  <c:v>-563.67011629143508</c:v>
                </c:pt>
                <c:pt idx="88">
                  <c:v>-566.58979870802477</c:v>
                </c:pt>
                <c:pt idx="89">
                  <c:v>-569.48748888803516</c:v>
                </c:pt>
                <c:pt idx="90">
                  <c:v>-572.36352085016733</c:v>
                </c:pt>
                <c:pt idx="91">
                  <c:v>-575.21821946110151</c:v>
                </c:pt>
                <c:pt idx="92">
                  <c:v>-578.05190078400403</c:v>
                </c:pt>
                <c:pt idx="93">
                  <c:v>-580.86487241009854</c:v>
                </c:pt>
                <c:pt idx="94">
                  <c:v>-583.65743377429885</c:v>
                </c:pt>
                <c:pt idx="95">
                  <c:v>-586.42987645582991</c:v>
                </c:pt>
                <c:pt idx="96">
                  <c:v>-589.18248446470295</c:v>
                </c:pt>
                <c:pt idx="97">
                  <c:v>-591.91553451484947</c:v>
                </c:pt>
                <c:pt idx="98">
                  <c:v>-594.62929628466838</c:v>
                </c:pt>
                <c:pt idx="99">
                  <c:v>-597.32403266568804</c:v>
                </c:pt>
                <c:pt idx="100">
                  <c:v>-600</c:v>
                </c:pt>
                <c:pt idx="101">
                  <c:v>-602.65744830707933</c:v>
                </c:pt>
                <c:pt idx="102">
                  <c:v>-605.2966215005664</c:v>
                </c:pt>
                <c:pt idx="103">
                  <c:v>-607.91775759554844</c:v>
                </c:pt>
                <c:pt idx="104">
                  <c:v>-610.52108890684519</c:v>
                </c:pt>
                <c:pt idx="105">
                  <c:v>-613.10684223877331</c:v>
                </c:pt>
                <c:pt idx="106">
                  <c:v>-615.67523906683141</c:v>
                </c:pt>
                <c:pt idx="107">
                  <c:v>-618.22649571172542</c:v>
                </c:pt>
                <c:pt idx="108">
                  <c:v>-620.76082350612296</c:v>
                </c:pt>
                <c:pt idx="109">
                  <c:v>-623.27842895450829</c:v>
                </c:pt>
                <c:pt idx="110">
                  <c:v>-625.77951388648057</c:v>
                </c:pt>
                <c:pt idx="111">
                  <c:v>-628.26427560382581</c:v>
                </c:pt>
                <c:pt idx="112">
                  <c:v>-630.7329070216648</c:v>
                </c:pt>
                <c:pt idx="113">
                  <c:v>-633.18559680397027</c:v>
                </c:pt>
                <c:pt idx="114">
                  <c:v>-635.62252949372396</c:v>
                </c:pt>
                <c:pt idx="115">
                  <c:v>-638.04388563797079</c:v>
                </c:pt>
                <c:pt idx="116">
                  <c:v>-640.44984190801392</c:v>
                </c:pt>
                <c:pt idx="117">
                  <c:v>-642.84057121497858</c:v>
                </c:pt>
                <c:pt idx="118">
                  <c:v>-645.21624282096309</c:v>
                </c:pt>
                <c:pt idx="119">
                  <c:v>-647.57702244597897</c:v>
                </c:pt>
                <c:pt idx="120">
                  <c:v>-649.92307237087687</c:v>
                </c:pt>
                <c:pt idx="121">
                  <c:v>-652.25455153643816</c:v>
                </c:pt>
                <c:pt idx="122">
                  <c:v>-654.57161563880845</c:v>
                </c:pt>
                <c:pt idx="123">
                  <c:v>-656.87441722143512</c:v>
                </c:pt>
                <c:pt idx="124">
                  <c:v>-659.16310576366459</c:v>
                </c:pt>
                <c:pt idx="125">
                  <c:v>-661.43782776614762</c:v>
                </c:pt>
                <c:pt idx="126">
                  <c:v>-663.69872683319204</c:v>
                </c:pt>
                <c:pt idx="127">
                  <c:v>-665.94594375219378</c:v>
                </c:pt>
                <c:pt idx="128">
                  <c:v>-668.17961657027524</c:v>
                </c:pt>
                <c:pt idx="129">
                  <c:v>-670.39988066824719</c:v>
                </c:pt>
                <c:pt idx="130">
                  <c:v>-672.60686883200947</c:v>
                </c:pt>
                <c:pt idx="131">
                  <c:v>-674.80071132149828</c:v>
                </c:pt>
                <c:pt idx="132">
                  <c:v>-676.98153593728091</c:v>
                </c:pt>
                <c:pt idx="133">
                  <c:v>-679.1494680848981</c:v>
                </c:pt>
                <c:pt idx="134">
                  <c:v>-681.30463083704342</c:v>
                </c:pt>
                <c:pt idx="135">
                  <c:v>-683.44714499367103</c:v>
                </c:pt>
                <c:pt idx="136">
                  <c:v>-685.57712914011358</c:v>
                </c:pt>
                <c:pt idx="137">
                  <c:v>-687.69469970329135</c:v>
                </c:pt>
                <c:pt idx="138">
                  <c:v>-689.79997100608807</c:v>
                </c:pt>
                <c:pt idx="139">
                  <c:v>-691.89305531996774</c:v>
                </c:pt>
                <c:pt idx="140">
                  <c:v>-693.97406291589891</c:v>
                </c:pt>
                <c:pt idx="141">
                  <c:v>-696.04310211365498</c:v>
                </c:pt>
                <c:pt idx="142">
                  <c:v>-698.10027932955302</c:v>
                </c:pt>
                <c:pt idx="143">
                  <c:v>-700.14569912268973</c:v>
                </c:pt>
                <c:pt idx="144">
                  <c:v>-702.1794642397341</c:v>
                </c:pt>
                <c:pt idx="145">
                  <c:v>-704.20167565833015</c:v>
                </c:pt>
                <c:pt idx="146">
                  <c:v>-706.21243262916289</c:v>
                </c:pt>
                <c:pt idx="147">
                  <c:v>-708.21183271673738</c:v>
                </c:pt>
                <c:pt idx="148">
                  <c:v>-710.19997183891803</c:v>
                </c:pt>
                <c:pt idx="149">
                  <c:v>-712.17694430527581</c:v>
                </c:pt>
                <c:pt idx="150">
                  <c:v>-714.14284285428505</c:v>
                </c:pt>
                <c:pt idx="151">
                  <c:v>-716.09775868941244</c:v>
                </c:pt>
                <c:pt idx="152">
                  <c:v>-718.04178151413998</c:v>
                </c:pt>
                <c:pt idx="153">
                  <c:v>-719.97499956595721</c:v>
                </c:pt>
                <c:pt idx="154">
                  <c:v>-721.89749964936163</c:v>
                </c:pt>
                <c:pt idx="155">
                  <c:v>-723.80936716790291</c:v>
                </c:pt>
                <c:pt idx="156">
                  <c:v>-725.71068615530248</c:v>
                </c:pt>
                <c:pt idx="157">
                  <c:v>-727.60153930568345</c:v>
                </c:pt>
                <c:pt idx="158">
                  <c:v>-729.48200800293898</c:v>
                </c:pt>
                <c:pt idx="159">
                  <c:v>-731.35217234927256</c:v>
                </c:pt>
                <c:pt idx="160">
                  <c:v>-733.21211119293434</c:v>
                </c:pt>
                <c:pt idx="161">
                  <c:v>-735.06190215518586</c:v>
                </c:pt>
                <c:pt idx="162">
                  <c:v>-736.90162165651395</c:v>
                </c:pt>
                <c:pt idx="163">
                  <c:v>-738.73134494212445</c:v>
                </c:pt>
                <c:pt idx="164">
                  <c:v>-740.55114610673581</c:v>
                </c:pt>
                <c:pt idx="165">
                  <c:v>-742.36109811869858</c:v>
                </c:pt>
                <c:pt idx="166">
                  <c:v>-744.16127284346101</c:v>
                </c:pt>
                <c:pt idx="167">
                  <c:v>-745.95174106640434</c:v>
                </c:pt>
                <c:pt idx="168">
                  <c:v>-747.73257251506709</c:v>
                </c:pt>
                <c:pt idx="169">
                  <c:v>-749.50383588077784</c:v>
                </c:pt>
                <c:pt idx="170">
                  <c:v>-751.26559883971788</c:v>
                </c:pt>
                <c:pt idx="171">
                  <c:v>-753.01792807342906</c:v>
                </c:pt>
                <c:pt idx="172">
                  <c:v>-754.76088928878664</c:v>
                </c:pt>
                <c:pt idx="173">
                  <c:v>-756.49454723745362</c:v>
                </c:pt>
                <c:pt idx="174">
                  <c:v>-758.21896573483309</c:v>
                </c:pt>
                <c:pt idx="175">
                  <c:v>-759.9342076785332</c:v>
                </c:pt>
                <c:pt idx="176">
                  <c:v>-761.6403350663619</c:v>
                </c:pt>
                <c:pt idx="177">
                  <c:v>-763.33740901386454</c:v>
                </c:pt>
                <c:pt idx="178">
                  <c:v>-765.0254897714193</c:v>
                </c:pt>
                <c:pt idx="179">
                  <c:v>-766.70463674090297</c:v>
                </c:pt>
                <c:pt idx="180">
                  <c:v>-768.37490849194182</c:v>
                </c:pt>
                <c:pt idx="181">
                  <c:v>-770.03636277775865</c:v>
                </c:pt>
                <c:pt idx="182">
                  <c:v>-771.68905655062906</c:v>
                </c:pt>
                <c:pt idx="183">
                  <c:v>-773.33304597695815</c:v>
                </c:pt>
                <c:pt idx="184">
                  <c:v>-774.96838645198943</c:v>
                </c:pt>
                <c:pt idx="185">
                  <c:v>-776.59513261415691</c:v>
                </c:pt>
                <c:pt idx="186">
                  <c:v>-778.21333835909036</c:v>
                </c:pt>
                <c:pt idx="187">
                  <c:v>-779.8230568532839</c:v>
                </c:pt>
                <c:pt idx="188">
                  <c:v>-781.4243405474391</c:v>
                </c:pt>
                <c:pt idx="189">
                  <c:v>-783.01724118949005</c:v>
                </c:pt>
                <c:pt idx="190">
                  <c:v>-784.60180983732118</c:v>
                </c:pt>
                <c:pt idx="191">
                  <c:v>-786.17809687118609</c:v>
                </c:pt>
                <c:pt idx="192">
                  <c:v>-787.74615200583492</c:v>
                </c:pt>
                <c:pt idx="193">
                  <c:v>-789.30602430236149</c:v>
                </c:pt>
                <c:pt idx="194">
                  <c:v>-790.857762179774</c:v>
                </c:pt>
                <c:pt idx="195">
                  <c:v>-792.40141342630125</c:v>
                </c:pt>
                <c:pt idx="196">
                  <c:v>-793.93702521043826</c:v>
                </c:pt>
                <c:pt idx="197">
                  <c:v>-795.46464409174087</c:v>
                </c:pt>
                <c:pt idx="198">
                  <c:v>-796.9843160313759</c:v>
                </c:pt>
                <c:pt idx="199">
                  <c:v>-798.49608640243196</c:v>
                </c:pt>
                <c:pt idx="200">
                  <c:v>-800</c:v>
                </c:pt>
                <c:pt idx="201">
                  <c:v>-801.49610105102818</c:v>
                </c:pt>
                <c:pt idx="202">
                  <c:v>-802.98443322395735</c:v>
                </c:pt>
                <c:pt idx="203">
                  <c:v>-804.46503963814359</c:v>
                </c:pt>
                <c:pt idx="204">
                  <c:v>-805.93796287307373</c:v>
                </c:pt>
                <c:pt idx="205">
                  <c:v>-807.40324497737811</c:v>
                </c:pt>
                <c:pt idx="206">
                  <c:v>-808.86092747764746</c:v>
                </c:pt>
                <c:pt idx="207">
                  <c:v>-810.31105138705846</c:v>
                </c:pt>
                <c:pt idx="208">
                  <c:v>-811.75365721381263</c:v>
                </c:pt>
                <c:pt idx="209">
                  <c:v>-813.18878496939442</c:v>
                </c:pt>
                <c:pt idx="210">
                  <c:v>-814.61647417665199</c:v>
                </c:pt>
                <c:pt idx="211">
                  <c:v>-816.03676387770668</c:v>
                </c:pt>
                <c:pt idx="212">
                  <c:v>-817.44969264169401</c:v>
                </c:pt>
                <c:pt idx="213">
                  <c:v>-818.85529857234235</c:v>
                </c:pt>
                <c:pt idx="214">
                  <c:v>-820.25361931539203</c:v>
                </c:pt>
                <c:pt idx="215">
                  <c:v>-821.64469206585886</c:v>
                </c:pt>
                <c:pt idx="216">
                  <c:v>-823.02855357514784</c:v>
                </c:pt>
                <c:pt idx="217">
                  <c:v>-824.40524015801839</c:v>
                </c:pt>
                <c:pt idx="218">
                  <c:v>-825.7747876994066</c:v>
                </c:pt>
                <c:pt idx="219">
                  <c:v>-827.13723166110708</c:v>
                </c:pt>
                <c:pt idx="220">
                  <c:v>-828.49260708831912</c:v>
                </c:pt>
                <c:pt idx="221">
                  <c:v>-829.84094861605854</c:v>
                </c:pt>
                <c:pt idx="222">
                  <c:v>-831.18229047544082</c:v>
                </c:pt>
                <c:pt idx="223">
                  <c:v>-832.51666649983656</c:v>
                </c:pt>
                <c:pt idx="224">
                  <c:v>-833.84411013090448</c:v>
                </c:pt>
                <c:pt idx="225">
                  <c:v>-835.16465442450328</c:v>
                </c:pt>
                <c:pt idx="226">
                  <c:v>-836.47833205648544</c:v>
                </c:pt>
                <c:pt idx="227">
                  <c:v>-837.78517532837736</c:v>
                </c:pt>
                <c:pt idx="228">
                  <c:v>-839.08521617294628</c:v>
                </c:pt>
                <c:pt idx="229">
                  <c:v>-840.37848615965891</c:v>
                </c:pt>
                <c:pt idx="230">
                  <c:v>-841.66501650003249</c:v>
                </c:pt>
                <c:pt idx="231">
                  <c:v>-842.94483805288235</c:v>
                </c:pt>
                <c:pt idx="232">
                  <c:v>-844.21798132946685</c:v>
                </c:pt>
                <c:pt idx="233">
                  <c:v>-845.48447649853392</c:v>
                </c:pt>
                <c:pt idx="234">
                  <c:v>-846.74435339127001</c:v>
                </c:pt>
                <c:pt idx="235">
                  <c:v>-847.9976415061542</c:v>
                </c:pt>
                <c:pt idx="236">
                  <c:v>-849.24437001371996</c:v>
                </c:pt>
                <c:pt idx="237">
                  <c:v>-850.48456776122634</c:v>
                </c:pt>
                <c:pt idx="238">
                  <c:v>-851.71826327724125</c:v>
                </c:pt>
                <c:pt idx="239">
                  <c:v>-852.94548477613739</c:v>
                </c:pt>
                <c:pt idx="240">
                  <c:v>-854.16626016250484</c:v>
                </c:pt>
                <c:pt idx="241">
                  <c:v>-855.3806170354809</c:v>
                </c:pt>
                <c:pt idx="242">
                  <c:v>-856.58858269299856</c:v>
                </c:pt>
                <c:pt idx="243">
                  <c:v>-857.79018413595759</c:v>
                </c:pt>
                <c:pt idx="244">
                  <c:v>-858.98544807231747</c:v>
                </c:pt>
                <c:pt idx="245">
                  <c:v>-860.17440092111553</c:v>
                </c:pt>
                <c:pt idx="246">
                  <c:v>-861.35706881641136</c:v>
                </c:pt>
                <c:pt idx="247">
                  <c:v>-862.53347761115913</c:v>
                </c:pt>
                <c:pt idx="248">
                  <c:v>-863.70365288100993</c:v>
                </c:pt>
                <c:pt idx="249">
                  <c:v>-864.86761992804429</c:v>
                </c:pt>
                <c:pt idx="250">
                  <c:v>-866.02540378443859</c:v>
                </c:pt>
                <c:pt idx="251">
                  <c:v>-867.17702921606497</c:v>
                </c:pt>
                <c:pt idx="252">
                  <c:v>-868.32252072602614</c:v>
                </c:pt>
                <c:pt idx="253">
                  <c:v>-869.46190255812814</c:v>
                </c:pt>
                <c:pt idx="254">
                  <c:v>-870.59519870029146</c:v>
                </c:pt>
                <c:pt idx="255">
                  <c:v>-871.72243288790037</c:v>
                </c:pt>
                <c:pt idx="256">
                  <c:v>-872.84362860709473</c:v>
                </c:pt>
                <c:pt idx="257">
                  <c:v>-873.95880909800314</c:v>
                </c:pt>
                <c:pt idx="258">
                  <c:v>-875.06799735791958</c:v>
                </c:pt>
                <c:pt idx="259">
                  <c:v>-876.17121614442465</c:v>
                </c:pt>
                <c:pt idx="260">
                  <c:v>-877.2684879784523</c:v>
                </c:pt>
                <c:pt idx="261">
                  <c:v>-878.35983514730458</c:v>
                </c:pt>
                <c:pt idx="262">
                  <c:v>-879.44527970761203</c:v>
                </c:pt>
                <c:pt idx="263">
                  <c:v>-880.52484348824589</c:v>
                </c:pt>
                <c:pt idx="264">
                  <c:v>-881.59854809317824</c:v>
                </c:pt>
                <c:pt idx="265">
                  <c:v>-882.66641490429436</c:v>
                </c:pt>
                <c:pt idx="266">
                  <c:v>-883.72846508415694</c:v>
                </c:pt>
                <c:pt idx="267">
                  <c:v>-884.7847195787233</c:v>
                </c:pt>
                <c:pt idx="268">
                  <c:v>-885.83519912001691</c:v>
                </c:pt>
                <c:pt idx="269">
                  <c:v>-886.87992422875379</c:v>
                </c:pt>
                <c:pt idx="270">
                  <c:v>-887.91891521692457</c:v>
                </c:pt>
                <c:pt idx="271">
                  <c:v>-888.95219219033368</c:v>
                </c:pt>
                <c:pt idx="272">
                  <c:v>-889.97977505109634</c:v>
                </c:pt>
                <c:pt idx="273">
                  <c:v>-891.00168350009301</c:v>
                </c:pt>
                <c:pt idx="274">
                  <c:v>-892.01793703938483</c:v>
                </c:pt>
                <c:pt idx="275">
                  <c:v>-893.02855497458756</c:v>
                </c:pt>
                <c:pt idx="276">
                  <c:v>-894.03355641720736</c:v>
                </c:pt>
                <c:pt idx="277">
                  <c:v>-895.03296028693831</c:v>
                </c:pt>
                <c:pt idx="278">
                  <c:v>-896.02678531392132</c:v>
                </c:pt>
                <c:pt idx="279">
                  <c:v>-897.01505004096782</c:v>
                </c:pt>
                <c:pt idx="280">
                  <c:v>-897.99777282574598</c:v>
                </c:pt>
                <c:pt idx="281">
                  <c:v>-898.97497184293184</c:v>
                </c:pt>
                <c:pt idx="282">
                  <c:v>-899.94666508632611</c:v>
                </c:pt>
                <c:pt idx="283">
                  <c:v>-900.91287037093662</c:v>
                </c:pt>
                <c:pt idx="284">
                  <c:v>-901.87360533502692</c:v>
                </c:pt>
                <c:pt idx="285">
                  <c:v>-902.82888744213324</c:v>
                </c:pt>
                <c:pt idx="286">
                  <c:v>-903.77873398304746</c:v>
                </c:pt>
                <c:pt idx="287">
                  <c:v>-904.72316207777067</c:v>
                </c:pt>
                <c:pt idx="288">
                  <c:v>-905.66218867743396</c:v>
                </c:pt>
                <c:pt idx="289">
                  <c:v>-906.5958305661901</c:v>
                </c:pt>
                <c:pt idx="290">
                  <c:v>-907.52410436307423</c:v>
                </c:pt>
                <c:pt idx="291">
                  <c:v>-908.44702652383648</c:v>
                </c:pt>
                <c:pt idx="292">
                  <c:v>-909.36461334274497</c:v>
                </c:pt>
                <c:pt idx="293">
                  <c:v>-910.2768809543611</c:v>
                </c:pt>
                <c:pt idx="294">
                  <c:v>-911.18384533528683</c:v>
                </c:pt>
                <c:pt idx="295">
                  <c:v>-912.08552230588555</c:v>
                </c:pt>
                <c:pt idx="296">
                  <c:v>-912.98192753197475</c:v>
                </c:pt>
                <c:pt idx="297">
                  <c:v>-913.87307652649451</c:v>
                </c:pt>
                <c:pt idx="298">
                  <c:v>-914.75898465114847</c:v>
                </c:pt>
                <c:pt idx="299">
                  <c:v>-915.63966711802084</c:v>
                </c:pt>
                <c:pt idx="300">
                  <c:v>-916.51513899116799</c:v>
                </c:pt>
                <c:pt idx="301">
                  <c:v>-917.38541518818579</c:v>
                </c:pt>
                <c:pt idx="302">
                  <c:v>-918.25051048175305</c:v>
                </c:pt>
                <c:pt idx="303">
                  <c:v>-919.11043950115152</c:v>
                </c:pt>
                <c:pt idx="304">
                  <c:v>-919.96521673376321</c:v>
                </c:pt>
                <c:pt idx="305">
                  <c:v>-920.81485652654408</c:v>
                </c:pt>
                <c:pt idx="306">
                  <c:v>-921.65937308747641</c:v>
                </c:pt>
                <c:pt idx="307">
                  <c:v>-922.49878048699884</c:v>
                </c:pt>
                <c:pt idx="308">
                  <c:v>-923.33309265941512</c:v>
                </c:pt>
                <c:pt idx="309">
                  <c:v>-924.16232340428166</c:v>
                </c:pt>
                <c:pt idx="310">
                  <c:v>-924.98648638777422</c:v>
                </c:pt>
                <c:pt idx="311">
                  <c:v>-925.80559514403456</c:v>
                </c:pt>
                <c:pt idx="312">
                  <c:v>-926.61966307649652</c:v>
                </c:pt>
                <c:pt idx="313">
                  <c:v>-927.42870345919312</c:v>
                </c:pt>
                <c:pt idx="314">
                  <c:v>-928.23272943804341</c:v>
                </c:pt>
                <c:pt idx="315">
                  <c:v>-929.03175403212128</c:v>
                </c:pt>
                <c:pt idx="316">
                  <c:v>-929.82579013490476</c:v>
                </c:pt>
                <c:pt idx="317">
                  <c:v>-930.61485051550733</c:v>
                </c:pt>
                <c:pt idx="318">
                  <c:v>-931.39894781989096</c:v>
                </c:pt>
                <c:pt idx="319">
                  <c:v>-932.17809457206192</c:v>
                </c:pt>
                <c:pt idx="320">
                  <c:v>-932.95230317524806</c:v>
                </c:pt>
                <c:pt idx="321">
                  <c:v>-933.72158591306004</c:v>
                </c:pt>
                <c:pt idx="322">
                  <c:v>-934.48595495063489</c:v>
                </c:pt>
                <c:pt idx="323">
                  <c:v>-935.24542233576312</c:v>
                </c:pt>
                <c:pt idx="324">
                  <c:v>-936</c:v>
                </c:pt>
                <c:pt idx="325">
                  <c:v>-936.74969975975978</c:v>
                </c:pt>
                <c:pt idx="326">
                  <c:v>-937.49453331739483</c:v>
                </c:pt>
                <c:pt idx="327">
                  <c:v>-938.2345122622595</c:v>
                </c:pt>
                <c:pt idx="328">
                  <c:v>-938.96964807175743</c:v>
                </c:pt>
                <c:pt idx="329">
                  <c:v>-939.69995211237506</c:v>
                </c:pt>
                <c:pt idx="330">
                  <c:v>-940.42543564069979</c:v>
                </c:pt>
                <c:pt idx="331">
                  <c:v>-941.14610980442353</c:v>
                </c:pt>
                <c:pt idx="332">
                  <c:v>-941.86198564333188</c:v>
                </c:pt>
                <c:pt idx="333">
                  <c:v>-942.57307409027976</c:v>
                </c:pt>
                <c:pt idx="334">
                  <c:v>-943.279385972152</c:v>
                </c:pt>
                <c:pt idx="335">
                  <c:v>-943.98093201081133</c:v>
                </c:pt>
                <c:pt idx="336">
                  <c:v>-944.67772282403268</c:v>
                </c:pt>
                <c:pt idx="337">
                  <c:v>-945.36976892642383</c:v>
                </c:pt>
                <c:pt idx="338">
                  <c:v>-946.05708073033315</c:v>
                </c:pt>
                <c:pt idx="339">
                  <c:v>-946.73966854674472</c:v>
                </c:pt>
                <c:pt idx="340">
                  <c:v>-947.41754258616095</c:v>
                </c:pt>
                <c:pt idx="341">
                  <c:v>-948.09071295947206</c:v>
                </c:pt>
                <c:pt idx="342">
                  <c:v>-948.7591896788141</c:v>
                </c:pt>
                <c:pt idx="343">
                  <c:v>-949.42298265841453</c:v>
                </c:pt>
                <c:pt idx="344">
                  <c:v>-950.08210171542544</c:v>
                </c:pt>
                <c:pt idx="345">
                  <c:v>-950.73655657074642</c:v>
                </c:pt>
                <c:pt idx="346">
                  <c:v>-951.38635684983421</c:v>
                </c:pt>
                <c:pt idx="347">
                  <c:v>-952.03151208350243</c:v>
                </c:pt>
                <c:pt idx="348">
                  <c:v>-952.67203170870926</c:v>
                </c:pt>
                <c:pt idx="349">
                  <c:v>-953.3079250693346</c:v>
                </c:pt>
                <c:pt idx="350">
                  <c:v>-953.93920141694559</c:v>
                </c:pt>
                <c:pt idx="351">
                  <c:v>-954.56586991155302</c:v>
                </c:pt>
                <c:pt idx="352">
                  <c:v>-955.1879396223552</c:v>
                </c:pt>
                <c:pt idx="353">
                  <c:v>-955.80541952847284</c:v>
                </c:pt>
                <c:pt idx="354">
                  <c:v>-956.41831851967368</c:v>
                </c:pt>
                <c:pt idx="355">
                  <c:v>-957.0266453970861</c:v>
                </c:pt>
                <c:pt idx="356">
                  <c:v>-957.63040887390366</c:v>
                </c:pt>
                <c:pt idx="357">
                  <c:v>-958.2296175760797</c:v>
                </c:pt>
                <c:pt idx="358">
                  <c:v>-958.82428004301187</c:v>
                </c:pt>
                <c:pt idx="359">
                  <c:v>-959.41440472821751</c:v>
                </c:pt>
                <c:pt idx="360">
                  <c:v>-960</c:v>
                </c:pt>
                <c:pt idx="361">
                  <c:v>-960.58107414210485</c:v>
                </c:pt>
                <c:pt idx="362">
                  <c:v>-961.15763535436793</c:v>
                </c:pt>
                <c:pt idx="363">
                  <c:v>-961.72969175335334</c:v>
                </c:pt>
                <c:pt idx="364">
                  <c:v>-962.29725137298408</c:v>
                </c:pt>
                <c:pt idx="365">
                  <c:v>-962.86032216516219</c:v>
                </c:pt>
                <c:pt idx="366">
                  <c:v>-963.41891200038208</c:v>
                </c:pt>
                <c:pt idx="367">
                  <c:v>-963.97302866833365</c:v>
                </c:pt>
                <c:pt idx="368">
                  <c:v>-964.52267987849825</c:v>
                </c:pt>
                <c:pt idx="369">
                  <c:v>-965.06787326073595</c:v>
                </c:pt>
                <c:pt idx="370">
                  <c:v>-965.60861636586492</c:v>
                </c:pt>
                <c:pt idx="371">
                  <c:v>-966.14491666623178</c:v>
                </c:pt>
                <c:pt idx="372">
                  <c:v>-966.67678155627596</c:v>
                </c:pt>
                <c:pt idx="373">
                  <c:v>-967.20421835308389</c:v>
                </c:pt>
                <c:pt idx="374">
                  <c:v>-967.72723429693758</c:v>
                </c:pt>
                <c:pt idx="375">
                  <c:v>-968.24583655185427</c:v>
                </c:pt>
                <c:pt idx="376">
                  <c:v>-968.76003220611858</c:v>
                </c:pt>
                <c:pt idx="377">
                  <c:v>-969.2698282728087</c:v>
                </c:pt>
                <c:pt idx="378">
                  <c:v>-969.77523169031292</c:v>
                </c:pt>
                <c:pt idx="379">
                  <c:v>-970.27624932284107</c:v>
                </c:pt>
                <c:pt idx="380">
                  <c:v>-970.77288796092773</c:v>
                </c:pt>
                <c:pt idx="381">
                  <c:v>-971.26515432192866</c:v>
                </c:pt>
                <c:pt idx="382">
                  <c:v>-971.75305505051028</c:v>
                </c:pt>
                <c:pt idx="383">
                  <c:v>-972.23659671913197</c:v>
                </c:pt>
                <c:pt idx="384">
                  <c:v>-972.71578582852248</c:v>
                </c:pt>
                <c:pt idx="385">
                  <c:v>-973.19062880814874</c:v>
                </c:pt>
                <c:pt idx="386">
                  <c:v>-973.66113201667861</c:v>
                </c:pt>
                <c:pt idx="387">
                  <c:v>-974.12730174243654</c:v>
                </c:pt>
                <c:pt idx="388">
                  <c:v>-974.58914420385372</c:v>
                </c:pt>
                <c:pt idx="389">
                  <c:v>-975.04666554991104</c:v>
                </c:pt>
                <c:pt idx="390">
                  <c:v>-975.49987186057592</c:v>
                </c:pt>
                <c:pt idx="391">
                  <c:v>-975.94876914723352</c:v>
                </c:pt>
                <c:pt idx="392">
                  <c:v>-976.39336335311089</c:v>
                </c:pt>
                <c:pt idx="393">
                  <c:v>-976.83366035369602</c:v>
                </c:pt>
                <c:pt idx="394">
                  <c:v>-977.26966595715021</c:v>
                </c:pt>
                <c:pt idx="395">
                  <c:v>-977.70138590471481</c:v>
                </c:pt>
                <c:pt idx="396">
                  <c:v>-978.12882587111199</c:v>
                </c:pt>
                <c:pt idx="397">
                  <c:v>-978.55199146493999</c:v>
                </c:pt>
                <c:pt idx="398">
                  <c:v>-978.97088822906267</c:v>
                </c:pt>
                <c:pt idx="399">
                  <c:v>-979.38552164099303</c:v>
                </c:pt>
                <c:pt idx="400">
                  <c:v>-979.79589711327128</c:v>
                </c:pt>
                <c:pt idx="401">
                  <c:v>-980.20201999383778</c:v>
                </c:pt>
                <c:pt idx="402">
                  <c:v>-980.60389556640041</c:v>
                </c:pt>
                <c:pt idx="403">
                  <c:v>-981.00152905079608</c:v>
                </c:pt>
                <c:pt idx="404">
                  <c:v>-981.39492560334747</c:v>
                </c:pt>
                <c:pt idx="405">
                  <c:v>-981.78409031721435</c:v>
                </c:pt>
                <c:pt idx="406">
                  <c:v>-982.16902822273926</c:v>
                </c:pt>
                <c:pt idx="407">
                  <c:v>-982.54974428778928</c:v>
                </c:pt>
                <c:pt idx="408">
                  <c:v>-982.92624341809085</c:v>
                </c:pt>
                <c:pt idx="409">
                  <c:v>-983.29853045756147</c:v>
                </c:pt>
                <c:pt idx="410">
                  <c:v>-983.66661018863499</c:v>
                </c:pt>
                <c:pt idx="411">
                  <c:v>-984.03048733258265</c:v>
                </c:pt>
                <c:pt idx="412">
                  <c:v>-984.3901665498289</c:v>
                </c:pt>
                <c:pt idx="413">
                  <c:v>-984.74565244026337</c:v>
                </c:pt>
                <c:pt idx="414">
                  <c:v>-985.0969495435462</c:v>
                </c:pt>
                <c:pt idx="415">
                  <c:v>-985.44406233941049</c:v>
                </c:pt>
                <c:pt idx="416">
                  <c:v>-985.78699524795923</c:v>
                </c:pt>
                <c:pt idx="417">
                  <c:v>-986.12575262995745</c:v>
                </c:pt>
                <c:pt idx="418">
                  <c:v>-986.46033878712024</c:v>
                </c:pt>
                <c:pt idx="419">
                  <c:v>-986.79075796239601</c:v>
                </c:pt>
                <c:pt idx="420">
                  <c:v>-987.1170143402453</c:v>
                </c:pt>
                <c:pt idx="421">
                  <c:v>-987.43911204691506</c:v>
                </c:pt>
                <c:pt idx="422">
                  <c:v>-987.75705515070865</c:v>
                </c:pt>
                <c:pt idx="423">
                  <c:v>-988.07084766225137</c:v>
                </c:pt>
                <c:pt idx="424">
                  <c:v>-988.38049353475208</c:v>
                </c:pt>
                <c:pt idx="425">
                  <c:v>-988.68599666425939</c:v>
                </c:pt>
                <c:pt idx="426">
                  <c:v>-988.98736088991552</c:v>
                </c:pt>
                <c:pt idx="427">
                  <c:v>-989.28458999420388</c:v>
                </c:pt>
                <c:pt idx="428">
                  <c:v>-989.57768770319387</c:v>
                </c:pt>
                <c:pt idx="429">
                  <c:v>-989.86665768678154</c:v>
                </c:pt>
                <c:pt idx="430">
                  <c:v>-990.15150355892501</c:v>
                </c:pt>
                <c:pt idx="431">
                  <c:v>-990.43222887787738</c:v>
                </c:pt>
                <c:pt idx="432">
                  <c:v>-990.70883714641411</c:v>
                </c:pt>
                <c:pt idx="433">
                  <c:v>-990.98133181205787</c:v>
                </c:pt>
                <c:pt idx="434">
                  <c:v>-991.2497162672986</c:v>
                </c:pt>
                <c:pt idx="435">
                  <c:v>-991.51399384980948</c:v>
                </c:pt>
                <c:pt idx="436">
                  <c:v>-991.77416784265961</c:v>
                </c:pt>
                <c:pt idx="437">
                  <c:v>-992.03024147452277</c:v>
                </c:pt>
                <c:pt idx="438">
                  <c:v>-992.28221791988187</c:v>
                </c:pt>
                <c:pt idx="439">
                  <c:v>-992.53010029923018</c:v>
                </c:pt>
                <c:pt idx="440">
                  <c:v>-992.77389167926856</c:v>
                </c:pt>
                <c:pt idx="441">
                  <c:v>-993.01359507309871</c:v>
                </c:pt>
                <c:pt idx="442">
                  <c:v>-993.24921344041343</c:v>
                </c:pt>
                <c:pt idx="443">
                  <c:v>-993.48074968768265</c:v>
                </c:pt>
                <c:pt idx="444">
                  <c:v>-993.70820666833583</c:v>
                </c:pt>
                <c:pt idx="445">
                  <c:v>-993.93158718294092</c:v>
                </c:pt>
                <c:pt idx="446">
                  <c:v>-994.15089397937982</c:v>
                </c:pt>
                <c:pt idx="447">
                  <c:v>-994.36612975302012</c:v>
                </c:pt>
                <c:pt idx="448">
                  <c:v>-994.57729714688344</c:v>
                </c:pt>
                <c:pt idx="449">
                  <c:v>-994.78439875180993</c:v>
                </c:pt>
                <c:pt idx="450">
                  <c:v>-994.98743710661995</c:v>
                </c:pt>
                <c:pt idx="451">
                  <c:v>-995.18641469827151</c:v>
                </c:pt>
                <c:pt idx="452">
                  <c:v>-995.38133396201476</c:v>
                </c:pt>
                <c:pt idx="453">
                  <c:v>-995.57219728154325</c:v>
                </c:pt>
                <c:pt idx="454">
                  <c:v>-995.75900698914097</c:v>
                </c:pt>
                <c:pt idx="455">
                  <c:v>-995.941765365827</c:v>
                </c:pt>
                <c:pt idx="456">
                  <c:v>-996.12047464149634</c:v>
                </c:pt>
                <c:pt idx="457">
                  <c:v>-996.29513699505731</c:v>
                </c:pt>
                <c:pt idx="458">
                  <c:v>-996.46575455456571</c:v>
                </c:pt>
                <c:pt idx="459">
                  <c:v>-996.63232939735599</c:v>
                </c:pt>
                <c:pt idx="460">
                  <c:v>-996.794863550169</c:v>
                </c:pt>
                <c:pt idx="461">
                  <c:v>-996.9533589892759</c:v>
                </c:pt>
                <c:pt idx="462">
                  <c:v>-997.10781764059993</c:v>
                </c:pt>
                <c:pt idx="463">
                  <c:v>-997.25824137983443</c:v>
                </c:pt>
                <c:pt idx="464">
                  <c:v>-997.40463203255683</c:v>
                </c:pt>
                <c:pt idx="465">
                  <c:v>-997.54699137434125</c:v>
                </c:pt>
                <c:pt idx="466">
                  <c:v>-997.68532113086644</c:v>
                </c:pt>
                <c:pt idx="467">
                  <c:v>-997.81962297802102</c:v>
                </c:pt>
                <c:pt idx="468">
                  <c:v>-997.94989854200594</c:v>
                </c:pt>
                <c:pt idx="469">
                  <c:v>-998.07614939943335</c:v>
                </c:pt>
                <c:pt idx="470">
                  <c:v>-998.19837707742238</c:v>
                </c:pt>
                <c:pt idx="471">
                  <c:v>-998.3165830536924</c:v>
                </c:pt>
                <c:pt idx="472">
                  <c:v>-998.43076875665247</c:v>
                </c:pt>
                <c:pt idx="473">
                  <c:v>-998.54093556548798</c:v>
                </c:pt>
                <c:pt idx="474">
                  <c:v>-998.64708481024468</c:v>
                </c:pt>
                <c:pt idx="475">
                  <c:v>-998.749217771909</c:v>
                </c:pt>
                <c:pt idx="476">
                  <c:v>-998.84733568248555</c:v>
                </c:pt>
                <c:pt idx="477">
                  <c:v>-998.9414397250722</c:v>
                </c:pt>
                <c:pt idx="478">
                  <c:v>-999.03153103393083</c:v>
                </c:pt>
                <c:pt idx="479">
                  <c:v>-999.11761069455679</c:v>
                </c:pt>
                <c:pt idx="480">
                  <c:v>-999.19967974374367</c:v>
                </c:pt>
                <c:pt idx="481">
                  <c:v>-999.27773916964645</c:v>
                </c:pt>
                <c:pt idx="482">
                  <c:v>-999.3517899118408</c:v>
                </c:pt>
                <c:pt idx="483">
                  <c:v>-999.42183286137993</c:v>
                </c:pt>
                <c:pt idx="484">
                  <c:v>-999.48786886084815</c:v>
                </c:pt>
                <c:pt idx="485">
                  <c:v>-999.54989870441182</c:v>
                </c:pt>
                <c:pt idx="486">
                  <c:v>-999.60792313786715</c:v>
                </c:pt>
                <c:pt idx="487">
                  <c:v>-999.6619428586846</c:v>
                </c:pt>
                <c:pt idx="488">
                  <c:v>-999.71195851605171</c:v>
                </c:pt>
                <c:pt idx="489">
                  <c:v>-999.75797071091165</c:v>
                </c:pt>
                <c:pt idx="490">
                  <c:v>-999.79997999599902</c:v>
                </c:pt>
                <c:pt idx="491">
                  <c:v>-999.83798687587375</c:v>
                </c:pt>
                <c:pt idx="492">
                  <c:v>-999.8719918069512</c:v>
                </c:pt>
                <c:pt idx="493">
                  <c:v>-999.90199519752935</c:v>
                </c:pt>
                <c:pt idx="494">
                  <c:v>-999.92799740781334</c:v>
                </c:pt>
                <c:pt idx="495">
                  <c:v>-999.94999874993755</c:v>
                </c:pt>
                <c:pt idx="496">
                  <c:v>-999.96799948798366</c:v>
                </c:pt>
                <c:pt idx="497">
                  <c:v>-999.98199983799714</c:v>
                </c:pt>
                <c:pt idx="498">
                  <c:v>-999.99199996799973</c:v>
                </c:pt>
                <c:pt idx="499">
                  <c:v>-999.99799999799995</c:v>
                </c:pt>
                <c:pt idx="500">
                  <c:v>-1000</c:v>
                </c:pt>
                <c:pt idx="501">
                  <c:v>-999.99799999799995</c:v>
                </c:pt>
                <c:pt idx="502">
                  <c:v>-999.99199996799973</c:v>
                </c:pt>
                <c:pt idx="503">
                  <c:v>-999.98199983799714</c:v>
                </c:pt>
                <c:pt idx="504">
                  <c:v>-999.96799948798366</c:v>
                </c:pt>
                <c:pt idx="505">
                  <c:v>-999.94999874993755</c:v>
                </c:pt>
                <c:pt idx="506">
                  <c:v>-999.92799740781334</c:v>
                </c:pt>
                <c:pt idx="507">
                  <c:v>-999.90199519752935</c:v>
                </c:pt>
                <c:pt idx="508">
                  <c:v>-999.8719918069512</c:v>
                </c:pt>
                <c:pt idx="509">
                  <c:v>-999.83798687587375</c:v>
                </c:pt>
                <c:pt idx="510">
                  <c:v>-999.79997999599902</c:v>
                </c:pt>
                <c:pt idx="511">
                  <c:v>-999.75797071091165</c:v>
                </c:pt>
                <c:pt idx="512">
                  <c:v>-999.71195851605171</c:v>
                </c:pt>
                <c:pt idx="513">
                  <c:v>-999.6619428586846</c:v>
                </c:pt>
                <c:pt idx="514">
                  <c:v>-999.60792313786715</c:v>
                </c:pt>
                <c:pt idx="515">
                  <c:v>-999.54989870441182</c:v>
                </c:pt>
                <c:pt idx="516">
                  <c:v>-999.48786886084815</c:v>
                </c:pt>
                <c:pt idx="517">
                  <c:v>-999.42183286137993</c:v>
                </c:pt>
                <c:pt idx="518">
                  <c:v>-999.3517899118408</c:v>
                </c:pt>
                <c:pt idx="519">
                  <c:v>-999.27773916964645</c:v>
                </c:pt>
                <c:pt idx="520">
                  <c:v>-999.19967974374367</c:v>
                </c:pt>
                <c:pt idx="521">
                  <c:v>-999.11761069455679</c:v>
                </c:pt>
                <c:pt idx="522">
                  <c:v>-999.03153103393083</c:v>
                </c:pt>
                <c:pt idx="523">
                  <c:v>-998.9414397250722</c:v>
                </c:pt>
                <c:pt idx="524">
                  <c:v>-998.84733568248555</c:v>
                </c:pt>
                <c:pt idx="525">
                  <c:v>-998.749217771909</c:v>
                </c:pt>
                <c:pt idx="526">
                  <c:v>-998.64708481024468</c:v>
                </c:pt>
                <c:pt idx="527">
                  <c:v>-998.54093556548798</c:v>
                </c:pt>
                <c:pt idx="528">
                  <c:v>-998.43076875665247</c:v>
                </c:pt>
                <c:pt idx="529">
                  <c:v>-998.3165830536924</c:v>
                </c:pt>
                <c:pt idx="530">
                  <c:v>-998.19837707742238</c:v>
                </c:pt>
                <c:pt idx="531">
                  <c:v>-998.07614939943335</c:v>
                </c:pt>
                <c:pt idx="532">
                  <c:v>-997.94989854200594</c:v>
                </c:pt>
                <c:pt idx="533">
                  <c:v>-997.81962297802102</c:v>
                </c:pt>
                <c:pt idx="534">
                  <c:v>-997.68532113086644</c:v>
                </c:pt>
                <c:pt idx="535">
                  <c:v>-997.54699137434125</c:v>
                </c:pt>
                <c:pt idx="536">
                  <c:v>-997.40463203255683</c:v>
                </c:pt>
                <c:pt idx="537">
                  <c:v>-997.25824137983443</c:v>
                </c:pt>
                <c:pt idx="538">
                  <c:v>-997.10781764059993</c:v>
                </c:pt>
                <c:pt idx="539">
                  <c:v>-996.9533589892759</c:v>
                </c:pt>
                <c:pt idx="540">
                  <c:v>-996.794863550169</c:v>
                </c:pt>
                <c:pt idx="541">
                  <c:v>-996.63232939735599</c:v>
                </c:pt>
                <c:pt idx="542">
                  <c:v>-996.46575455456571</c:v>
                </c:pt>
                <c:pt idx="543">
                  <c:v>-996.29513699505731</c:v>
                </c:pt>
                <c:pt idx="544">
                  <c:v>-996.12047464149634</c:v>
                </c:pt>
                <c:pt idx="545">
                  <c:v>-995.941765365827</c:v>
                </c:pt>
                <c:pt idx="546">
                  <c:v>-995.75900698914097</c:v>
                </c:pt>
                <c:pt idx="547">
                  <c:v>-995.57219728154325</c:v>
                </c:pt>
                <c:pt idx="548">
                  <c:v>-995.38133396201476</c:v>
                </c:pt>
                <c:pt idx="549">
                  <c:v>-995.18641469827151</c:v>
                </c:pt>
                <c:pt idx="550">
                  <c:v>-994.98743710661995</c:v>
                </c:pt>
                <c:pt idx="551">
                  <c:v>-994.78439875180993</c:v>
                </c:pt>
                <c:pt idx="552">
                  <c:v>-994.57729714688344</c:v>
                </c:pt>
                <c:pt idx="553">
                  <c:v>-994.36612975302012</c:v>
                </c:pt>
                <c:pt idx="554">
                  <c:v>-994.15089397937982</c:v>
                </c:pt>
                <c:pt idx="555">
                  <c:v>-993.93158718294092</c:v>
                </c:pt>
                <c:pt idx="556">
                  <c:v>-993.70820666833583</c:v>
                </c:pt>
                <c:pt idx="557">
                  <c:v>-993.48074968768265</c:v>
                </c:pt>
                <c:pt idx="558">
                  <c:v>-993.24921344041343</c:v>
                </c:pt>
                <c:pt idx="559">
                  <c:v>-993.01359507309871</c:v>
                </c:pt>
                <c:pt idx="560">
                  <c:v>-992.77389167926856</c:v>
                </c:pt>
                <c:pt idx="561">
                  <c:v>-992.53010029923018</c:v>
                </c:pt>
                <c:pt idx="562">
                  <c:v>-992.28221791988187</c:v>
                </c:pt>
                <c:pt idx="563">
                  <c:v>-992.03024147452277</c:v>
                </c:pt>
                <c:pt idx="564">
                  <c:v>-991.77416784265961</c:v>
                </c:pt>
                <c:pt idx="565">
                  <c:v>-991.51399384980948</c:v>
                </c:pt>
                <c:pt idx="566">
                  <c:v>-991.2497162672986</c:v>
                </c:pt>
                <c:pt idx="567">
                  <c:v>-990.98133181205787</c:v>
                </c:pt>
                <c:pt idx="568">
                  <c:v>-990.70883714641411</c:v>
                </c:pt>
                <c:pt idx="569">
                  <c:v>-990.43222887787738</c:v>
                </c:pt>
                <c:pt idx="570">
                  <c:v>-990.15150355892501</c:v>
                </c:pt>
                <c:pt idx="571">
                  <c:v>-989.86665768678154</c:v>
                </c:pt>
                <c:pt idx="572">
                  <c:v>-989.57768770319387</c:v>
                </c:pt>
                <c:pt idx="573">
                  <c:v>-989.28458999420388</c:v>
                </c:pt>
                <c:pt idx="574">
                  <c:v>-988.98736088991552</c:v>
                </c:pt>
                <c:pt idx="575">
                  <c:v>-988.68599666425939</c:v>
                </c:pt>
                <c:pt idx="576">
                  <c:v>-988.38049353475208</c:v>
                </c:pt>
                <c:pt idx="577">
                  <c:v>-988.07084766225137</c:v>
                </c:pt>
                <c:pt idx="578">
                  <c:v>-987.75705515070865</c:v>
                </c:pt>
                <c:pt idx="579">
                  <c:v>-987.43911204691506</c:v>
                </c:pt>
                <c:pt idx="580">
                  <c:v>-987.1170143402453</c:v>
                </c:pt>
                <c:pt idx="581">
                  <c:v>-986.79075796239601</c:v>
                </c:pt>
                <c:pt idx="582">
                  <c:v>-986.46033878712024</c:v>
                </c:pt>
                <c:pt idx="583">
                  <c:v>-986.12575262995745</c:v>
                </c:pt>
                <c:pt idx="584">
                  <c:v>-985.78699524795923</c:v>
                </c:pt>
                <c:pt idx="585">
                  <c:v>-985.44406233941049</c:v>
                </c:pt>
                <c:pt idx="586">
                  <c:v>-985.0969495435462</c:v>
                </c:pt>
                <c:pt idx="587">
                  <c:v>-984.74565244026337</c:v>
                </c:pt>
                <c:pt idx="588">
                  <c:v>-984.3901665498289</c:v>
                </c:pt>
                <c:pt idx="589">
                  <c:v>-984.03048733258265</c:v>
                </c:pt>
                <c:pt idx="590">
                  <c:v>-983.66661018863499</c:v>
                </c:pt>
                <c:pt idx="591">
                  <c:v>-983.29853045756147</c:v>
                </c:pt>
                <c:pt idx="592">
                  <c:v>-982.92624341809085</c:v>
                </c:pt>
                <c:pt idx="593">
                  <c:v>-982.54974428778928</c:v>
                </c:pt>
                <c:pt idx="594">
                  <c:v>-982.16902822273926</c:v>
                </c:pt>
                <c:pt idx="595">
                  <c:v>-981.78409031721435</c:v>
                </c:pt>
                <c:pt idx="596">
                  <c:v>-981.39492560334747</c:v>
                </c:pt>
                <c:pt idx="597">
                  <c:v>-981.00152905079608</c:v>
                </c:pt>
                <c:pt idx="598">
                  <c:v>-980.60389556640041</c:v>
                </c:pt>
                <c:pt idx="599">
                  <c:v>-980.20201999383778</c:v>
                </c:pt>
                <c:pt idx="600">
                  <c:v>-979.79589711327128</c:v>
                </c:pt>
                <c:pt idx="601">
                  <c:v>-979.38552164099303</c:v>
                </c:pt>
                <c:pt idx="602">
                  <c:v>-978.97088822906267</c:v>
                </c:pt>
                <c:pt idx="603">
                  <c:v>-978.55199146493999</c:v>
                </c:pt>
                <c:pt idx="604">
                  <c:v>-978.12882587111199</c:v>
                </c:pt>
                <c:pt idx="605">
                  <c:v>-977.70138590471481</c:v>
                </c:pt>
                <c:pt idx="606">
                  <c:v>-977.26966595715021</c:v>
                </c:pt>
                <c:pt idx="607">
                  <c:v>-976.83366035369602</c:v>
                </c:pt>
                <c:pt idx="608">
                  <c:v>-976.39336335311089</c:v>
                </c:pt>
                <c:pt idx="609">
                  <c:v>-975.94876914723352</c:v>
                </c:pt>
                <c:pt idx="610">
                  <c:v>-975.49987186057592</c:v>
                </c:pt>
                <c:pt idx="611">
                  <c:v>-975.04666554991104</c:v>
                </c:pt>
                <c:pt idx="612">
                  <c:v>-974.58914420385372</c:v>
                </c:pt>
                <c:pt idx="613">
                  <c:v>-974.12730174243654</c:v>
                </c:pt>
                <c:pt idx="614">
                  <c:v>-973.66113201667861</c:v>
                </c:pt>
                <c:pt idx="615">
                  <c:v>-973.19062880814874</c:v>
                </c:pt>
                <c:pt idx="616">
                  <c:v>-972.71578582852248</c:v>
                </c:pt>
                <c:pt idx="617">
                  <c:v>-972.23659671913197</c:v>
                </c:pt>
                <c:pt idx="618">
                  <c:v>-971.75305505051028</c:v>
                </c:pt>
                <c:pt idx="619">
                  <c:v>-971.26515432192866</c:v>
                </c:pt>
                <c:pt idx="620">
                  <c:v>-970.77288796092773</c:v>
                </c:pt>
                <c:pt idx="621">
                  <c:v>-970.27624932284107</c:v>
                </c:pt>
                <c:pt idx="622">
                  <c:v>-969.77523169031292</c:v>
                </c:pt>
                <c:pt idx="623">
                  <c:v>-969.2698282728087</c:v>
                </c:pt>
                <c:pt idx="624">
                  <c:v>-968.76003220611858</c:v>
                </c:pt>
                <c:pt idx="625">
                  <c:v>-968.24583655185427</c:v>
                </c:pt>
                <c:pt idx="626">
                  <c:v>-967.72723429693758</c:v>
                </c:pt>
                <c:pt idx="627">
                  <c:v>-967.20421835308389</c:v>
                </c:pt>
                <c:pt idx="628">
                  <c:v>-966.67678155627596</c:v>
                </c:pt>
                <c:pt idx="629">
                  <c:v>-966.14491666623178</c:v>
                </c:pt>
                <c:pt idx="630">
                  <c:v>-965.60861636586492</c:v>
                </c:pt>
                <c:pt idx="631">
                  <c:v>-965.06787326073595</c:v>
                </c:pt>
                <c:pt idx="632">
                  <c:v>-964.52267987849825</c:v>
                </c:pt>
                <c:pt idx="633">
                  <c:v>-963.97302866833365</c:v>
                </c:pt>
                <c:pt idx="634">
                  <c:v>-963.41891200038208</c:v>
                </c:pt>
                <c:pt idx="635">
                  <c:v>-962.86032216516219</c:v>
                </c:pt>
                <c:pt idx="636">
                  <c:v>-962.29725137298408</c:v>
                </c:pt>
                <c:pt idx="637">
                  <c:v>-961.72969175335334</c:v>
                </c:pt>
                <c:pt idx="638">
                  <c:v>-961.15763535436793</c:v>
                </c:pt>
                <c:pt idx="639">
                  <c:v>-960.58107414210485</c:v>
                </c:pt>
                <c:pt idx="640">
                  <c:v>-960</c:v>
                </c:pt>
                <c:pt idx="641">
                  <c:v>-959.41440472821751</c:v>
                </c:pt>
                <c:pt idx="642">
                  <c:v>-958.82428004301187</c:v>
                </c:pt>
                <c:pt idx="643">
                  <c:v>-958.2296175760797</c:v>
                </c:pt>
                <c:pt idx="644">
                  <c:v>-957.63040887390366</c:v>
                </c:pt>
                <c:pt idx="645">
                  <c:v>-957.0266453970861</c:v>
                </c:pt>
                <c:pt idx="646">
                  <c:v>-956.41831851967368</c:v>
                </c:pt>
                <c:pt idx="647">
                  <c:v>-955.80541952847284</c:v>
                </c:pt>
                <c:pt idx="648">
                  <c:v>-955.1879396223552</c:v>
                </c:pt>
                <c:pt idx="649">
                  <c:v>-954.56586991155302</c:v>
                </c:pt>
                <c:pt idx="650">
                  <c:v>-953.93920141694559</c:v>
                </c:pt>
                <c:pt idx="651">
                  <c:v>-953.3079250693346</c:v>
                </c:pt>
                <c:pt idx="652">
                  <c:v>-952.67203170870926</c:v>
                </c:pt>
                <c:pt idx="653">
                  <c:v>-952.03151208350243</c:v>
                </c:pt>
                <c:pt idx="654">
                  <c:v>-951.38635684983421</c:v>
                </c:pt>
                <c:pt idx="655">
                  <c:v>-950.73655657074642</c:v>
                </c:pt>
                <c:pt idx="656">
                  <c:v>-950.08210171542544</c:v>
                </c:pt>
                <c:pt idx="657">
                  <c:v>-949.42298265841453</c:v>
                </c:pt>
                <c:pt idx="658">
                  <c:v>-948.7591896788141</c:v>
                </c:pt>
                <c:pt idx="659">
                  <c:v>-948.09071295947206</c:v>
                </c:pt>
                <c:pt idx="660">
                  <c:v>-947.41754258616095</c:v>
                </c:pt>
                <c:pt idx="661">
                  <c:v>-946.73966854674472</c:v>
                </c:pt>
                <c:pt idx="662">
                  <c:v>-946.05708073033315</c:v>
                </c:pt>
                <c:pt idx="663">
                  <c:v>-945.36976892642383</c:v>
                </c:pt>
                <c:pt idx="664">
                  <c:v>-944.67772282403268</c:v>
                </c:pt>
                <c:pt idx="665">
                  <c:v>-943.98093201081133</c:v>
                </c:pt>
                <c:pt idx="666">
                  <c:v>-943.279385972152</c:v>
                </c:pt>
                <c:pt idx="667">
                  <c:v>-942.57307409027976</c:v>
                </c:pt>
                <c:pt idx="668">
                  <c:v>-941.86198564333188</c:v>
                </c:pt>
                <c:pt idx="669">
                  <c:v>-941.14610980442353</c:v>
                </c:pt>
                <c:pt idx="670">
                  <c:v>-940.42543564069979</c:v>
                </c:pt>
                <c:pt idx="671">
                  <c:v>-939.69995211237506</c:v>
                </c:pt>
                <c:pt idx="672">
                  <c:v>-938.96964807175743</c:v>
                </c:pt>
                <c:pt idx="673">
                  <c:v>-938.2345122622595</c:v>
                </c:pt>
                <c:pt idx="674">
                  <c:v>-937.49453331739483</c:v>
                </c:pt>
                <c:pt idx="675">
                  <c:v>-936.74969975975978</c:v>
                </c:pt>
                <c:pt idx="676">
                  <c:v>-936</c:v>
                </c:pt>
                <c:pt idx="677">
                  <c:v>-935.24542233576312</c:v>
                </c:pt>
                <c:pt idx="678">
                  <c:v>-934.48595495063489</c:v>
                </c:pt>
                <c:pt idx="679">
                  <c:v>-933.72158591306004</c:v>
                </c:pt>
                <c:pt idx="680">
                  <c:v>-932.95230317524806</c:v>
                </c:pt>
                <c:pt idx="681">
                  <c:v>-932.17809457206192</c:v>
                </c:pt>
                <c:pt idx="682">
                  <c:v>-931.39894781989096</c:v>
                </c:pt>
                <c:pt idx="683">
                  <c:v>-930.61485051550733</c:v>
                </c:pt>
                <c:pt idx="684">
                  <c:v>-929.82579013490476</c:v>
                </c:pt>
                <c:pt idx="685">
                  <c:v>-929.03175403212128</c:v>
                </c:pt>
                <c:pt idx="686">
                  <c:v>-928.23272943804341</c:v>
                </c:pt>
                <c:pt idx="687">
                  <c:v>-927.42870345919312</c:v>
                </c:pt>
                <c:pt idx="688">
                  <c:v>-926.61966307649652</c:v>
                </c:pt>
                <c:pt idx="689">
                  <c:v>-925.80559514403456</c:v>
                </c:pt>
                <c:pt idx="690">
                  <c:v>-924.98648638777422</c:v>
                </c:pt>
                <c:pt idx="691">
                  <c:v>-924.16232340428166</c:v>
                </c:pt>
                <c:pt idx="692">
                  <c:v>-923.33309265941512</c:v>
                </c:pt>
                <c:pt idx="693">
                  <c:v>-922.49878048699884</c:v>
                </c:pt>
                <c:pt idx="694">
                  <c:v>-921.65937308747641</c:v>
                </c:pt>
                <c:pt idx="695">
                  <c:v>-920.81485652654408</c:v>
                </c:pt>
                <c:pt idx="696">
                  <c:v>-919.96521673376321</c:v>
                </c:pt>
                <c:pt idx="697">
                  <c:v>-919.11043950115152</c:v>
                </c:pt>
                <c:pt idx="698">
                  <c:v>-918.25051048175305</c:v>
                </c:pt>
                <c:pt idx="699">
                  <c:v>-917.38541518818579</c:v>
                </c:pt>
                <c:pt idx="700">
                  <c:v>-916.51513899116799</c:v>
                </c:pt>
                <c:pt idx="701">
                  <c:v>-915.63966711802084</c:v>
                </c:pt>
                <c:pt idx="702">
                  <c:v>-914.75898465114847</c:v>
                </c:pt>
                <c:pt idx="703">
                  <c:v>-913.87307652649451</c:v>
                </c:pt>
                <c:pt idx="704">
                  <c:v>-912.98192753197475</c:v>
                </c:pt>
                <c:pt idx="705">
                  <c:v>-912.08552230588555</c:v>
                </c:pt>
                <c:pt idx="706">
                  <c:v>-911.18384533528683</c:v>
                </c:pt>
                <c:pt idx="707">
                  <c:v>-910.2768809543611</c:v>
                </c:pt>
                <c:pt idx="708">
                  <c:v>-909.36461334274497</c:v>
                </c:pt>
                <c:pt idx="709">
                  <c:v>-908.44702652383648</c:v>
                </c:pt>
                <c:pt idx="710">
                  <c:v>-907.52410436307423</c:v>
                </c:pt>
                <c:pt idx="711">
                  <c:v>-906.5958305661901</c:v>
                </c:pt>
                <c:pt idx="712">
                  <c:v>-905.66218867743396</c:v>
                </c:pt>
                <c:pt idx="713">
                  <c:v>-904.72316207777067</c:v>
                </c:pt>
                <c:pt idx="714">
                  <c:v>-903.77873398304746</c:v>
                </c:pt>
                <c:pt idx="715">
                  <c:v>-902.82888744213324</c:v>
                </c:pt>
                <c:pt idx="716">
                  <c:v>-901.87360533502692</c:v>
                </c:pt>
                <c:pt idx="717">
                  <c:v>-900.91287037093662</c:v>
                </c:pt>
                <c:pt idx="718">
                  <c:v>-899.94666508632611</c:v>
                </c:pt>
                <c:pt idx="719">
                  <c:v>-898.97497184293184</c:v>
                </c:pt>
                <c:pt idx="720">
                  <c:v>-897.99777282574598</c:v>
                </c:pt>
                <c:pt idx="721">
                  <c:v>-897.01505004096782</c:v>
                </c:pt>
                <c:pt idx="722">
                  <c:v>-896.02678531392132</c:v>
                </c:pt>
                <c:pt idx="723">
                  <c:v>-895.03296028693831</c:v>
                </c:pt>
                <c:pt idx="724">
                  <c:v>-894.03355641720736</c:v>
                </c:pt>
                <c:pt idx="725">
                  <c:v>-893.02855497458756</c:v>
                </c:pt>
                <c:pt idx="726">
                  <c:v>-892.01793703938483</c:v>
                </c:pt>
                <c:pt idx="727">
                  <c:v>-891.00168350009301</c:v>
                </c:pt>
                <c:pt idx="728">
                  <c:v>-889.97977505109634</c:v>
                </c:pt>
                <c:pt idx="729">
                  <c:v>-888.95219219033368</c:v>
                </c:pt>
                <c:pt idx="730">
                  <c:v>-887.91891521692457</c:v>
                </c:pt>
                <c:pt idx="731">
                  <c:v>-886.87992422875379</c:v>
                </c:pt>
                <c:pt idx="732">
                  <c:v>-885.83519912001691</c:v>
                </c:pt>
                <c:pt idx="733">
                  <c:v>-884.7847195787233</c:v>
                </c:pt>
                <c:pt idx="734">
                  <c:v>-883.72846508415694</c:v>
                </c:pt>
                <c:pt idx="735">
                  <c:v>-882.66641490429436</c:v>
                </c:pt>
                <c:pt idx="736">
                  <c:v>-881.59854809317824</c:v>
                </c:pt>
                <c:pt idx="737">
                  <c:v>-880.52484348824589</c:v>
                </c:pt>
                <c:pt idx="738">
                  <c:v>-879.44527970761203</c:v>
                </c:pt>
                <c:pt idx="739">
                  <c:v>-878.35983514730458</c:v>
                </c:pt>
                <c:pt idx="740">
                  <c:v>-877.2684879784523</c:v>
                </c:pt>
                <c:pt idx="741">
                  <c:v>-876.17121614442465</c:v>
                </c:pt>
                <c:pt idx="742">
                  <c:v>-875.06799735791958</c:v>
                </c:pt>
                <c:pt idx="743">
                  <c:v>-873.95880909800314</c:v>
                </c:pt>
                <c:pt idx="744">
                  <c:v>-872.84362860709473</c:v>
                </c:pt>
                <c:pt idx="745">
                  <c:v>-871.72243288790037</c:v>
                </c:pt>
                <c:pt idx="746">
                  <c:v>-870.59519870029146</c:v>
                </c:pt>
                <c:pt idx="747">
                  <c:v>-869.46190255812814</c:v>
                </c:pt>
                <c:pt idx="748">
                  <c:v>-868.32252072602614</c:v>
                </c:pt>
                <c:pt idx="749">
                  <c:v>-867.17702921606497</c:v>
                </c:pt>
                <c:pt idx="750">
                  <c:v>-866.02540378443859</c:v>
                </c:pt>
                <c:pt idx="751">
                  <c:v>-864.86761992804429</c:v>
                </c:pt>
                <c:pt idx="752">
                  <c:v>-863.70365288100993</c:v>
                </c:pt>
                <c:pt idx="753">
                  <c:v>-862.53347761115913</c:v>
                </c:pt>
                <c:pt idx="754">
                  <c:v>-861.35706881641136</c:v>
                </c:pt>
                <c:pt idx="755">
                  <c:v>-860.17440092111553</c:v>
                </c:pt>
                <c:pt idx="756">
                  <c:v>-858.98544807231747</c:v>
                </c:pt>
                <c:pt idx="757">
                  <c:v>-857.79018413595759</c:v>
                </c:pt>
                <c:pt idx="758">
                  <c:v>-856.58858269299856</c:v>
                </c:pt>
                <c:pt idx="759">
                  <c:v>-855.3806170354809</c:v>
                </c:pt>
                <c:pt idx="760">
                  <c:v>-854.16626016250484</c:v>
                </c:pt>
                <c:pt idx="761">
                  <c:v>-852.94548477613739</c:v>
                </c:pt>
                <c:pt idx="762">
                  <c:v>-851.71826327724125</c:v>
                </c:pt>
                <c:pt idx="763">
                  <c:v>-850.48456776122634</c:v>
                </c:pt>
                <c:pt idx="764">
                  <c:v>-849.24437001371996</c:v>
                </c:pt>
                <c:pt idx="765">
                  <c:v>-847.9976415061542</c:v>
                </c:pt>
                <c:pt idx="766">
                  <c:v>-846.74435339127001</c:v>
                </c:pt>
                <c:pt idx="767">
                  <c:v>-845.48447649853392</c:v>
                </c:pt>
                <c:pt idx="768">
                  <c:v>-844.21798132946685</c:v>
                </c:pt>
                <c:pt idx="769">
                  <c:v>-842.94483805288235</c:v>
                </c:pt>
                <c:pt idx="770">
                  <c:v>-841.66501650003249</c:v>
                </c:pt>
                <c:pt idx="771">
                  <c:v>-840.37848615965891</c:v>
                </c:pt>
                <c:pt idx="772">
                  <c:v>-839.08521617294628</c:v>
                </c:pt>
                <c:pt idx="773">
                  <c:v>-837.78517532837736</c:v>
                </c:pt>
                <c:pt idx="774">
                  <c:v>-836.47833205648544</c:v>
                </c:pt>
                <c:pt idx="775">
                  <c:v>-835.16465442450328</c:v>
                </c:pt>
                <c:pt idx="776">
                  <c:v>-833.84411013090448</c:v>
                </c:pt>
                <c:pt idx="777">
                  <c:v>-832.51666649983656</c:v>
                </c:pt>
                <c:pt idx="778">
                  <c:v>-831.18229047544082</c:v>
                </c:pt>
                <c:pt idx="779">
                  <c:v>-829.84094861605854</c:v>
                </c:pt>
                <c:pt idx="780">
                  <c:v>-828.49260708831912</c:v>
                </c:pt>
                <c:pt idx="781">
                  <c:v>-827.13723166110708</c:v>
                </c:pt>
                <c:pt idx="782">
                  <c:v>-825.7747876994066</c:v>
                </c:pt>
                <c:pt idx="783">
                  <c:v>-824.40524015801839</c:v>
                </c:pt>
                <c:pt idx="784">
                  <c:v>-823.02855357514784</c:v>
                </c:pt>
                <c:pt idx="785">
                  <c:v>-821.64469206585886</c:v>
                </c:pt>
                <c:pt idx="786">
                  <c:v>-820.25361931539203</c:v>
                </c:pt>
                <c:pt idx="787">
                  <c:v>-818.85529857234235</c:v>
                </c:pt>
                <c:pt idx="788">
                  <c:v>-817.44969264169401</c:v>
                </c:pt>
                <c:pt idx="789">
                  <c:v>-816.03676387770668</c:v>
                </c:pt>
                <c:pt idx="790">
                  <c:v>-814.61647417665199</c:v>
                </c:pt>
                <c:pt idx="791">
                  <c:v>-813.18878496939442</c:v>
                </c:pt>
                <c:pt idx="792">
                  <c:v>-811.75365721381263</c:v>
                </c:pt>
                <c:pt idx="793">
                  <c:v>-810.31105138705846</c:v>
                </c:pt>
                <c:pt idx="794">
                  <c:v>-808.86092747764746</c:v>
                </c:pt>
                <c:pt idx="795">
                  <c:v>-807.40324497737811</c:v>
                </c:pt>
                <c:pt idx="796">
                  <c:v>-805.93796287307373</c:v>
                </c:pt>
                <c:pt idx="797">
                  <c:v>-804.46503963814359</c:v>
                </c:pt>
                <c:pt idx="798">
                  <c:v>-802.98443322395735</c:v>
                </c:pt>
                <c:pt idx="799">
                  <c:v>-801.49610105102818</c:v>
                </c:pt>
                <c:pt idx="800">
                  <c:v>-800</c:v>
                </c:pt>
                <c:pt idx="801">
                  <c:v>-798.49608640243196</c:v>
                </c:pt>
                <c:pt idx="802">
                  <c:v>-796.9843160313759</c:v>
                </c:pt>
                <c:pt idx="803">
                  <c:v>-795.46464409174087</c:v>
                </c:pt>
                <c:pt idx="804">
                  <c:v>-793.93702521043826</c:v>
                </c:pt>
                <c:pt idx="805">
                  <c:v>-792.40141342630125</c:v>
                </c:pt>
                <c:pt idx="806">
                  <c:v>-790.857762179774</c:v>
                </c:pt>
                <c:pt idx="807">
                  <c:v>-789.30602430236149</c:v>
                </c:pt>
                <c:pt idx="808">
                  <c:v>-787.74615200583492</c:v>
                </c:pt>
                <c:pt idx="809">
                  <c:v>-786.17809687118609</c:v>
                </c:pt>
                <c:pt idx="810">
                  <c:v>-784.60180983732118</c:v>
                </c:pt>
                <c:pt idx="811">
                  <c:v>-783.01724118949005</c:v>
                </c:pt>
                <c:pt idx="812">
                  <c:v>-781.4243405474391</c:v>
                </c:pt>
                <c:pt idx="813">
                  <c:v>-779.8230568532839</c:v>
                </c:pt>
                <c:pt idx="814">
                  <c:v>-778.21333835909036</c:v>
                </c:pt>
                <c:pt idx="815">
                  <c:v>-776.59513261415691</c:v>
                </c:pt>
                <c:pt idx="816">
                  <c:v>-774.96838645198943</c:v>
                </c:pt>
                <c:pt idx="817">
                  <c:v>-773.33304597695815</c:v>
                </c:pt>
                <c:pt idx="818">
                  <c:v>-771.68905655062906</c:v>
                </c:pt>
                <c:pt idx="819">
                  <c:v>-770.03636277775865</c:v>
                </c:pt>
                <c:pt idx="820">
                  <c:v>-768.37490849194182</c:v>
                </c:pt>
                <c:pt idx="821">
                  <c:v>-766.70463674090297</c:v>
                </c:pt>
                <c:pt idx="822">
                  <c:v>-765.0254897714193</c:v>
                </c:pt>
                <c:pt idx="823">
                  <c:v>-763.33740901386454</c:v>
                </c:pt>
                <c:pt idx="824">
                  <c:v>-761.6403350663619</c:v>
                </c:pt>
                <c:pt idx="825">
                  <c:v>-759.9342076785332</c:v>
                </c:pt>
                <c:pt idx="826">
                  <c:v>-758.21896573483309</c:v>
                </c:pt>
                <c:pt idx="827">
                  <c:v>-756.49454723745362</c:v>
                </c:pt>
                <c:pt idx="828">
                  <c:v>-754.76088928878664</c:v>
                </c:pt>
                <c:pt idx="829">
                  <c:v>-753.01792807342906</c:v>
                </c:pt>
                <c:pt idx="830">
                  <c:v>-751.26559883971788</c:v>
                </c:pt>
                <c:pt idx="831">
                  <c:v>-749.50383588077784</c:v>
                </c:pt>
                <c:pt idx="832">
                  <c:v>-747.73257251506709</c:v>
                </c:pt>
                <c:pt idx="833">
                  <c:v>-745.95174106640434</c:v>
                </c:pt>
                <c:pt idx="834">
                  <c:v>-744.16127284346101</c:v>
                </c:pt>
                <c:pt idx="835">
                  <c:v>-742.36109811869858</c:v>
                </c:pt>
                <c:pt idx="836">
                  <c:v>-740.55114610673581</c:v>
                </c:pt>
                <c:pt idx="837">
                  <c:v>-738.73134494212445</c:v>
                </c:pt>
                <c:pt idx="838">
                  <c:v>-736.90162165651395</c:v>
                </c:pt>
                <c:pt idx="839">
                  <c:v>-735.06190215518586</c:v>
                </c:pt>
                <c:pt idx="840">
                  <c:v>-733.21211119293434</c:v>
                </c:pt>
                <c:pt idx="841">
                  <c:v>-731.35217234927256</c:v>
                </c:pt>
                <c:pt idx="842">
                  <c:v>-729.48200800293898</c:v>
                </c:pt>
                <c:pt idx="843">
                  <c:v>-727.60153930568345</c:v>
                </c:pt>
                <c:pt idx="844">
                  <c:v>-725.71068615530248</c:v>
                </c:pt>
                <c:pt idx="845">
                  <c:v>-723.80936716790291</c:v>
                </c:pt>
                <c:pt idx="846">
                  <c:v>-721.89749964936163</c:v>
                </c:pt>
                <c:pt idx="847">
                  <c:v>-719.97499956595721</c:v>
                </c:pt>
                <c:pt idx="848">
                  <c:v>-718.04178151413998</c:v>
                </c:pt>
                <c:pt idx="849">
                  <c:v>-716.09775868941244</c:v>
                </c:pt>
                <c:pt idx="850">
                  <c:v>-714.14284285428505</c:v>
                </c:pt>
                <c:pt idx="851">
                  <c:v>-712.17694430527581</c:v>
                </c:pt>
                <c:pt idx="852">
                  <c:v>-710.19997183891803</c:v>
                </c:pt>
                <c:pt idx="853">
                  <c:v>-708.21183271673738</c:v>
                </c:pt>
                <c:pt idx="854">
                  <c:v>-706.21243262916289</c:v>
                </c:pt>
                <c:pt idx="855">
                  <c:v>-704.20167565833015</c:v>
                </c:pt>
                <c:pt idx="856">
                  <c:v>-702.1794642397341</c:v>
                </c:pt>
                <c:pt idx="857">
                  <c:v>-700.14569912268973</c:v>
                </c:pt>
                <c:pt idx="858">
                  <c:v>-698.10027932955302</c:v>
                </c:pt>
                <c:pt idx="859">
                  <c:v>-696.04310211365498</c:v>
                </c:pt>
                <c:pt idx="860">
                  <c:v>-693.97406291589891</c:v>
                </c:pt>
                <c:pt idx="861">
                  <c:v>-691.89305531996774</c:v>
                </c:pt>
                <c:pt idx="862">
                  <c:v>-689.79997100608807</c:v>
                </c:pt>
                <c:pt idx="863">
                  <c:v>-687.69469970329135</c:v>
                </c:pt>
                <c:pt idx="864">
                  <c:v>-685.57712914011358</c:v>
                </c:pt>
                <c:pt idx="865">
                  <c:v>-683.44714499367103</c:v>
                </c:pt>
                <c:pt idx="866">
                  <c:v>-681.30463083704342</c:v>
                </c:pt>
                <c:pt idx="867">
                  <c:v>-679.1494680848981</c:v>
                </c:pt>
                <c:pt idx="868">
                  <c:v>-676.98153593728091</c:v>
                </c:pt>
                <c:pt idx="869">
                  <c:v>-674.80071132149828</c:v>
                </c:pt>
                <c:pt idx="870">
                  <c:v>-672.60686883200947</c:v>
                </c:pt>
                <c:pt idx="871">
                  <c:v>-670.39988066824719</c:v>
                </c:pt>
                <c:pt idx="872">
                  <c:v>-668.17961657027524</c:v>
                </c:pt>
                <c:pt idx="873">
                  <c:v>-665.94594375219378</c:v>
                </c:pt>
                <c:pt idx="874">
                  <c:v>-663.69872683319204</c:v>
                </c:pt>
                <c:pt idx="875">
                  <c:v>-661.43782776614762</c:v>
                </c:pt>
                <c:pt idx="876">
                  <c:v>-659.16310576366459</c:v>
                </c:pt>
                <c:pt idx="877">
                  <c:v>-656.87441722143512</c:v>
                </c:pt>
                <c:pt idx="878">
                  <c:v>-654.57161563880845</c:v>
                </c:pt>
                <c:pt idx="879">
                  <c:v>-652.25455153643816</c:v>
                </c:pt>
                <c:pt idx="880">
                  <c:v>-649.92307237087687</c:v>
                </c:pt>
                <c:pt idx="881">
                  <c:v>-647.57702244597897</c:v>
                </c:pt>
                <c:pt idx="882">
                  <c:v>-645.21624282096309</c:v>
                </c:pt>
                <c:pt idx="883">
                  <c:v>-642.84057121497858</c:v>
                </c:pt>
                <c:pt idx="884">
                  <c:v>-640.44984190801392</c:v>
                </c:pt>
                <c:pt idx="885">
                  <c:v>-638.04388563797079</c:v>
                </c:pt>
                <c:pt idx="886">
                  <c:v>-635.62252949372396</c:v>
                </c:pt>
                <c:pt idx="887">
                  <c:v>-633.18559680397027</c:v>
                </c:pt>
                <c:pt idx="888">
                  <c:v>-630.7329070216648</c:v>
                </c:pt>
                <c:pt idx="889">
                  <c:v>-628.26427560382581</c:v>
                </c:pt>
                <c:pt idx="890">
                  <c:v>-625.77951388648057</c:v>
                </c:pt>
                <c:pt idx="891">
                  <c:v>-623.27842895450829</c:v>
                </c:pt>
                <c:pt idx="892">
                  <c:v>-620.76082350612296</c:v>
                </c:pt>
                <c:pt idx="893">
                  <c:v>-618.22649571172542</c:v>
                </c:pt>
                <c:pt idx="894">
                  <c:v>-615.67523906683141</c:v>
                </c:pt>
                <c:pt idx="895">
                  <c:v>-613.10684223877331</c:v>
                </c:pt>
                <c:pt idx="896">
                  <c:v>-610.52108890684519</c:v>
                </c:pt>
                <c:pt idx="897">
                  <c:v>-607.91775759554844</c:v>
                </c:pt>
                <c:pt idx="898">
                  <c:v>-605.2966215005664</c:v>
                </c:pt>
                <c:pt idx="899">
                  <c:v>-602.65744830707933</c:v>
                </c:pt>
                <c:pt idx="900">
                  <c:v>-600</c:v>
                </c:pt>
                <c:pt idx="901">
                  <c:v>-597.32403266568804</c:v>
                </c:pt>
                <c:pt idx="902">
                  <c:v>-594.62929628466838</c:v>
                </c:pt>
                <c:pt idx="903">
                  <c:v>-591.91553451484947</c:v>
                </c:pt>
                <c:pt idx="904">
                  <c:v>-589.18248446470295</c:v>
                </c:pt>
                <c:pt idx="905">
                  <c:v>-586.42987645582991</c:v>
                </c:pt>
                <c:pt idx="906">
                  <c:v>-583.65743377429885</c:v>
                </c:pt>
                <c:pt idx="907">
                  <c:v>-580.86487241009854</c:v>
                </c:pt>
                <c:pt idx="908">
                  <c:v>-578.05190078400403</c:v>
                </c:pt>
                <c:pt idx="909">
                  <c:v>-575.21821946110151</c:v>
                </c:pt>
                <c:pt idx="910">
                  <c:v>-572.36352085016733</c:v>
                </c:pt>
                <c:pt idx="911">
                  <c:v>-569.48748888803516</c:v>
                </c:pt>
                <c:pt idx="912">
                  <c:v>-566.58979870802477</c:v>
                </c:pt>
                <c:pt idx="913">
                  <c:v>-563.67011629143508</c:v>
                </c:pt>
                <c:pt idx="914">
                  <c:v>-560.72809810103149</c:v>
                </c:pt>
                <c:pt idx="915">
                  <c:v>-557.76339069537357</c:v>
                </c:pt>
                <c:pt idx="916">
                  <c:v>-554.77563032274588</c:v>
                </c:pt>
                <c:pt idx="917">
                  <c:v>-551.76444249335236</c:v>
                </c:pt>
                <c:pt idx="918">
                  <c:v>-548.72944152833645</c:v>
                </c:pt>
                <c:pt idx="919">
                  <c:v>-545.67023008406829</c:v>
                </c:pt>
                <c:pt idx="920">
                  <c:v>-542.58639865002147</c:v>
                </c:pt>
                <c:pt idx="921">
                  <c:v>-539.47752501842001</c:v>
                </c:pt>
                <c:pt idx="922">
                  <c:v>-536.34317372368969</c:v>
                </c:pt>
                <c:pt idx="923">
                  <c:v>-533.18289544958213</c:v>
                </c:pt>
                <c:pt idx="924">
                  <c:v>-529.99622640166035</c:v>
                </c:pt>
                <c:pt idx="925">
                  <c:v>-526.78268764263692</c:v>
                </c:pt>
                <c:pt idx="926">
                  <c:v>-523.54178438783663</c:v>
                </c:pt>
                <c:pt idx="927">
                  <c:v>-520.27300525781652</c:v>
                </c:pt>
                <c:pt idx="928">
                  <c:v>-516.97582148491233</c:v>
                </c:pt>
                <c:pt idx="929">
                  <c:v>-513.64968607018534</c:v>
                </c:pt>
                <c:pt idx="930">
                  <c:v>-510.29403288692293</c:v>
                </c:pt>
                <c:pt idx="931">
                  <c:v>-506.90827572648681</c:v>
                </c:pt>
                <c:pt idx="932">
                  <c:v>-503.49180728190601</c:v>
                </c:pt>
                <c:pt idx="933">
                  <c:v>-500.04399806417035</c:v>
                </c:pt>
                <c:pt idx="934">
                  <c:v>-496.56419524569026</c:v>
                </c:pt>
                <c:pt idx="935">
                  <c:v>-493.05172142484201</c:v>
                </c:pt>
                <c:pt idx="936">
                  <c:v>-489.50587330490737</c:v>
                </c:pt>
                <c:pt idx="937">
                  <c:v>-485.92592028003611</c:v>
                </c:pt>
                <c:pt idx="938">
                  <c:v>-482.31110292009657</c:v>
                </c:pt>
                <c:pt idx="939">
                  <c:v>-478.66063134542412</c:v>
                </c:pt>
                <c:pt idx="940">
                  <c:v>-474.97368348151667</c:v>
                </c:pt>
                <c:pt idx="941">
                  <c:v>-471.24940318264595</c:v>
                </c:pt>
                <c:pt idx="942">
                  <c:v>-467.48689821213173</c:v>
                </c:pt>
                <c:pt idx="943">
                  <c:v>-463.68523806565162</c:v>
                </c:pt>
                <c:pt idx="944">
                  <c:v>-459.84345162239725</c:v>
                </c:pt>
                <c:pt idx="945">
                  <c:v>-455.96052460711991</c:v>
                </c:pt>
                <c:pt idx="946">
                  <c:v>-452.03539684409674</c:v>
                </c:pt>
                <c:pt idx="947">
                  <c:v>-448.06695928175736</c:v>
                </c:pt>
                <c:pt idx="948">
                  <c:v>-444.05405076409335</c:v>
                </c:pt>
                <c:pt idx="949">
                  <c:v>-439.99545452197572</c:v>
                </c:pt>
                <c:pt idx="950">
                  <c:v>-435.88989435406734</c:v>
                </c:pt>
                <c:pt idx="951">
                  <c:v>-431.73603046305971</c:v>
                </c:pt>
                <c:pt idx="952">
                  <c:v>-427.5324549083964</c:v>
                </c:pt>
                <c:pt idx="953">
                  <c:v>-423.27768663136499</c:v>
                </c:pt>
                <c:pt idx="954">
                  <c:v>-418.9701660023062</c:v>
                </c:pt>
                <c:pt idx="955">
                  <c:v>-414.60824883255759</c:v>
                </c:pt>
                <c:pt idx="956">
                  <c:v>-410.19019978541661</c:v>
                </c:pt>
                <c:pt idx="957">
                  <c:v>-405.7141851106515</c:v>
                </c:pt>
                <c:pt idx="958">
                  <c:v>-401.17826461561947</c:v>
                </c:pt>
                <c:pt idx="959">
                  <c:v>-396.58038277252194</c:v>
                </c:pt>
                <c:pt idx="960">
                  <c:v>-391.91835884530849</c:v>
                </c:pt>
                <c:pt idx="961">
                  <c:v>-387.18987590070071</c:v>
                </c:pt>
                <c:pt idx="962">
                  <c:v>-382.39246854508002</c:v>
                </c:pt>
                <c:pt idx="963">
                  <c:v>-377.52350920174496</c:v>
                </c:pt>
                <c:pt idx="964">
                  <c:v>-372.58019271024057</c:v>
                </c:pt>
                <c:pt idx="965">
                  <c:v>-367.55951898978213</c:v>
                </c:pt>
                <c:pt idx="966">
                  <c:v>-362.45827346054608</c:v>
                </c:pt>
                <c:pt idx="967">
                  <c:v>-357.27300485762987</c:v>
                </c:pt>
                <c:pt idx="968">
                  <c:v>-352</c:v>
                </c:pt>
                <c:pt idx="969">
                  <c:v>-346.63525498714063</c:v>
                </c:pt>
                <c:pt idx="970">
                  <c:v>-341.17444218463959</c:v>
                </c:pt>
                <c:pt idx="971">
                  <c:v>-335.61287222036049</c:v>
                </c:pt>
                <c:pt idx="972">
                  <c:v>-329.94545003682049</c:v>
                </c:pt>
                <c:pt idx="973">
                  <c:v>-324.16662382176236</c:v>
                </c:pt>
                <c:pt idx="974">
                  <c:v>-318.2703253525217</c:v>
                </c:pt>
                <c:pt idx="975">
                  <c:v>-312.24989991991993</c:v>
                </c:pt>
                <c:pt idx="976">
                  <c:v>-306.09802351534387</c:v>
                </c:pt>
                <c:pt idx="977">
                  <c:v>-299.80660433019148</c:v>
                </c:pt>
                <c:pt idx="978">
                  <c:v>-293.36666477294244</c:v>
                </c:pt>
                <c:pt idx="979">
                  <c:v>-286.76819907374664</c:v>
                </c:pt>
                <c:pt idx="980">
                  <c:v>-280</c:v>
                </c:pt>
                <c:pt idx="981">
                  <c:v>-273.04944607158609</c:v>
                </c:pt>
                <c:pt idx="982">
                  <c:v>-265.90223767392405</c:v>
                </c:pt>
                <c:pt idx="983">
                  <c:v>-258.54206620973696</c:v>
                </c:pt>
                <c:pt idx="984">
                  <c:v>-250.95019426172996</c:v>
                </c:pt>
                <c:pt idx="985">
                  <c:v>-243.10491562286435</c:v>
                </c:pt>
                <c:pt idx="986">
                  <c:v>-234.98085028359225</c:v>
                </c:pt>
                <c:pt idx="987">
                  <c:v>-226.54800815721157</c:v>
                </c:pt>
                <c:pt idx="988">
                  <c:v>-217.77052142105919</c:v>
                </c:pt>
                <c:pt idx="989">
                  <c:v>-208.60488968382307</c:v>
                </c:pt>
                <c:pt idx="990">
                  <c:v>-198.997487421324</c:v>
                </c:pt>
                <c:pt idx="991">
                  <c:v>-188.88091486436633</c:v>
                </c:pt>
                <c:pt idx="992">
                  <c:v>-178.16845961056069</c:v>
                </c:pt>
                <c:pt idx="993">
                  <c:v>-166.74531477675768</c:v>
                </c:pt>
                <c:pt idx="994">
                  <c:v>-154.45387661046257</c:v>
                </c:pt>
                <c:pt idx="995">
                  <c:v>-141.06735979665885</c:v>
                </c:pt>
                <c:pt idx="996">
                  <c:v>-126.23787070447599</c:v>
                </c:pt>
                <c:pt idx="997">
                  <c:v>-109.38007131100254</c:v>
                </c:pt>
                <c:pt idx="998">
                  <c:v>-89.353231614754705</c:v>
                </c:pt>
                <c:pt idx="999">
                  <c:v>-63.21392251711643</c:v>
                </c:pt>
              </c:numCache>
            </c:numRef>
          </c:xVal>
          <c:yVal>
            <c:numRef>
              <c:f>Profil!$B$3:$B$1002</c:f>
              <c:numCache>
                <c:formatCode>General</c:formatCode>
                <c:ptCount val="10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</c:numCache>
            </c:numRef>
          </c:yVal>
          <c:smooth val="0"/>
        </c:ser>
        <c:ser>
          <c:idx val="1"/>
          <c:order val="3"/>
          <c:tx>
            <c:v>Profil_P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Profil!$E$3:$E$1002</c:f>
              <c:numCache>
                <c:formatCode>General</c:formatCode>
                <c:ptCount val="1000"/>
                <c:pt idx="0">
                  <c:v>0</c:v>
                </c:pt>
                <c:pt idx="1">
                  <c:v>63.21392251711643</c:v>
                </c:pt>
                <c:pt idx="2">
                  <c:v>89.353231614754705</c:v>
                </c:pt>
                <c:pt idx="3">
                  <c:v>109.38007131100254</c:v>
                </c:pt>
                <c:pt idx="4">
                  <c:v>126.23787070447599</c:v>
                </c:pt>
                <c:pt idx="5">
                  <c:v>141.06735979665885</c:v>
                </c:pt>
                <c:pt idx="6">
                  <c:v>154.45387661046257</c:v>
                </c:pt>
                <c:pt idx="7">
                  <c:v>166.74531477675768</c:v>
                </c:pt>
                <c:pt idx="8">
                  <c:v>178.16845961056069</c:v>
                </c:pt>
                <c:pt idx="9">
                  <c:v>188.88091486436633</c:v>
                </c:pt>
                <c:pt idx="10">
                  <c:v>198.997487421324</c:v>
                </c:pt>
                <c:pt idx="11">
                  <c:v>208.60488968382307</c:v>
                </c:pt>
                <c:pt idx="12">
                  <c:v>217.77052142105919</c:v>
                </c:pt>
                <c:pt idx="13">
                  <c:v>226.54800815721157</c:v>
                </c:pt>
                <c:pt idx="14">
                  <c:v>234.98085028359225</c:v>
                </c:pt>
                <c:pt idx="15">
                  <c:v>243.10491562286435</c:v>
                </c:pt>
                <c:pt idx="16">
                  <c:v>250.95019426172996</c:v>
                </c:pt>
                <c:pt idx="17">
                  <c:v>258.54206620973696</c:v>
                </c:pt>
                <c:pt idx="18">
                  <c:v>265.90223767392405</c:v>
                </c:pt>
                <c:pt idx="19">
                  <c:v>273.04944607158609</c:v>
                </c:pt>
                <c:pt idx="20">
                  <c:v>280</c:v>
                </c:pt>
                <c:pt idx="21">
                  <c:v>286.76819907374664</c:v>
                </c:pt>
                <c:pt idx="22">
                  <c:v>293.36666477294244</c:v>
                </c:pt>
                <c:pt idx="23">
                  <c:v>299.80660433019148</c:v>
                </c:pt>
                <c:pt idx="24">
                  <c:v>306.09802351534387</c:v>
                </c:pt>
                <c:pt idx="25">
                  <c:v>312.24989991991993</c:v>
                </c:pt>
                <c:pt idx="26">
                  <c:v>318.2703253525217</c:v>
                </c:pt>
                <c:pt idx="27">
                  <c:v>324.16662382176236</c:v>
                </c:pt>
                <c:pt idx="28">
                  <c:v>329.94545003682049</c:v>
                </c:pt>
                <c:pt idx="29">
                  <c:v>335.61287222036049</c:v>
                </c:pt>
                <c:pt idx="30">
                  <c:v>341.17444218463959</c:v>
                </c:pt>
                <c:pt idx="31">
                  <c:v>346.63525498714063</c:v>
                </c:pt>
                <c:pt idx="32">
                  <c:v>352</c:v>
                </c:pt>
                <c:pt idx="33">
                  <c:v>357.27300485762987</c:v>
                </c:pt>
                <c:pt idx="34">
                  <c:v>362.45827346054608</c:v>
                </c:pt>
                <c:pt idx="35">
                  <c:v>367.55951898978213</c:v>
                </c:pt>
                <c:pt idx="36">
                  <c:v>372.58019271024057</c:v>
                </c:pt>
                <c:pt idx="37">
                  <c:v>377.52350920174496</c:v>
                </c:pt>
                <c:pt idx="38">
                  <c:v>382.39246854508002</c:v>
                </c:pt>
                <c:pt idx="39">
                  <c:v>387.18987590070071</c:v>
                </c:pt>
                <c:pt idx="40">
                  <c:v>391.91835884530849</c:v>
                </c:pt>
                <c:pt idx="41">
                  <c:v>396.58038277252194</c:v>
                </c:pt>
                <c:pt idx="42">
                  <c:v>401.17826461561947</c:v>
                </c:pt>
                <c:pt idx="43">
                  <c:v>405.7141851106515</c:v>
                </c:pt>
                <c:pt idx="44">
                  <c:v>410.19019978541661</c:v>
                </c:pt>
                <c:pt idx="45">
                  <c:v>414.60824883255759</c:v>
                </c:pt>
                <c:pt idx="46">
                  <c:v>418.9701660023062</c:v>
                </c:pt>
                <c:pt idx="47">
                  <c:v>423.27768663136499</c:v>
                </c:pt>
                <c:pt idx="48">
                  <c:v>427.5324549083964</c:v>
                </c:pt>
                <c:pt idx="49">
                  <c:v>431.73603046305971</c:v>
                </c:pt>
                <c:pt idx="50">
                  <c:v>435.88989435406734</c:v>
                </c:pt>
                <c:pt idx="51">
                  <c:v>439.99545452197572</c:v>
                </c:pt>
                <c:pt idx="52">
                  <c:v>444.05405076409335</c:v>
                </c:pt>
                <c:pt idx="53">
                  <c:v>448.06695928175736</c:v>
                </c:pt>
                <c:pt idx="54">
                  <c:v>452.03539684409674</c:v>
                </c:pt>
                <c:pt idx="55">
                  <c:v>455.96052460711991</c:v>
                </c:pt>
                <c:pt idx="56">
                  <c:v>459.84345162239725</c:v>
                </c:pt>
                <c:pt idx="57">
                  <c:v>463.68523806565162</c:v>
                </c:pt>
                <c:pt idx="58">
                  <c:v>467.48689821213173</c:v>
                </c:pt>
                <c:pt idx="59">
                  <c:v>471.24940318264595</c:v>
                </c:pt>
                <c:pt idx="60">
                  <c:v>474.97368348151667</c:v>
                </c:pt>
                <c:pt idx="61">
                  <c:v>478.66063134542412</c:v>
                </c:pt>
                <c:pt idx="62">
                  <c:v>482.31110292009657</c:v>
                </c:pt>
                <c:pt idx="63">
                  <c:v>485.92592028003611</c:v>
                </c:pt>
                <c:pt idx="64">
                  <c:v>489.50587330490737</c:v>
                </c:pt>
                <c:pt idx="65">
                  <c:v>493.05172142484201</c:v>
                </c:pt>
                <c:pt idx="66">
                  <c:v>496.56419524569026</c:v>
                </c:pt>
                <c:pt idx="67">
                  <c:v>500.04399806417035</c:v>
                </c:pt>
                <c:pt idx="68">
                  <c:v>503.49180728190601</c:v>
                </c:pt>
                <c:pt idx="69">
                  <c:v>506.90827572648681</c:v>
                </c:pt>
                <c:pt idx="70">
                  <c:v>510.29403288692293</c:v>
                </c:pt>
                <c:pt idx="71">
                  <c:v>513.64968607018534</c:v>
                </c:pt>
                <c:pt idx="72">
                  <c:v>516.97582148491233</c:v>
                </c:pt>
                <c:pt idx="73">
                  <c:v>520.27300525781652</c:v>
                </c:pt>
                <c:pt idx="74">
                  <c:v>523.54178438783663</c:v>
                </c:pt>
                <c:pt idx="75">
                  <c:v>526.78268764263692</c:v>
                </c:pt>
                <c:pt idx="76">
                  <c:v>529.99622640166035</c:v>
                </c:pt>
                <c:pt idx="77">
                  <c:v>533.18289544958213</c:v>
                </c:pt>
                <c:pt idx="78">
                  <c:v>536.34317372368969</c:v>
                </c:pt>
                <c:pt idx="79">
                  <c:v>539.47752501842001</c:v>
                </c:pt>
                <c:pt idx="80">
                  <c:v>542.58639865002147</c:v>
                </c:pt>
                <c:pt idx="81">
                  <c:v>545.67023008406829</c:v>
                </c:pt>
                <c:pt idx="82">
                  <c:v>548.72944152833645</c:v>
                </c:pt>
                <c:pt idx="83">
                  <c:v>551.76444249335236</c:v>
                </c:pt>
                <c:pt idx="84">
                  <c:v>554.77563032274588</c:v>
                </c:pt>
                <c:pt idx="85">
                  <c:v>557.76339069537357</c:v>
                </c:pt>
                <c:pt idx="86">
                  <c:v>560.72809810103149</c:v>
                </c:pt>
                <c:pt idx="87">
                  <c:v>563.67011629143508</c:v>
                </c:pt>
                <c:pt idx="88">
                  <c:v>566.58979870802477</c:v>
                </c:pt>
                <c:pt idx="89">
                  <c:v>569.48748888803516</c:v>
                </c:pt>
                <c:pt idx="90">
                  <c:v>572.36352085016733</c:v>
                </c:pt>
                <c:pt idx="91">
                  <c:v>575.21821946110151</c:v>
                </c:pt>
                <c:pt idx="92">
                  <c:v>578.05190078400403</c:v>
                </c:pt>
                <c:pt idx="93">
                  <c:v>580.86487241009854</c:v>
                </c:pt>
                <c:pt idx="94">
                  <c:v>583.65743377429885</c:v>
                </c:pt>
                <c:pt idx="95">
                  <c:v>586.42987645582991</c:v>
                </c:pt>
                <c:pt idx="96">
                  <c:v>589.18248446470295</c:v>
                </c:pt>
                <c:pt idx="97">
                  <c:v>591.91553451484947</c:v>
                </c:pt>
                <c:pt idx="98">
                  <c:v>594.62929628466838</c:v>
                </c:pt>
                <c:pt idx="99">
                  <c:v>597.32403266568804</c:v>
                </c:pt>
                <c:pt idx="100">
                  <c:v>600</c:v>
                </c:pt>
                <c:pt idx="101">
                  <c:v>602.65744830707933</c:v>
                </c:pt>
                <c:pt idx="102">
                  <c:v>605.2966215005664</c:v>
                </c:pt>
                <c:pt idx="103">
                  <c:v>607.91775759554844</c:v>
                </c:pt>
                <c:pt idx="104">
                  <c:v>610.52108890684519</c:v>
                </c:pt>
                <c:pt idx="105">
                  <c:v>613.10684223877331</c:v>
                </c:pt>
                <c:pt idx="106">
                  <c:v>615.67523906683141</c:v>
                </c:pt>
                <c:pt idx="107">
                  <c:v>618.22649571172542</c:v>
                </c:pt>
                <c:pt idx="108">
                  <c:v>620.76082350612296</c:v>
                </c:pt>
                <c:pt idx="109">
                  <c:v>623.27842895450829</c:v>
                </c:pt>
                <c:pt idx="110">
                  <c:v>625.77951388648057</c:v>
                </c:pt>
                <c:pt idx="111">
                  <c:v>628.26427560382581</c:v>
                </c:pt>
                <c:pt idx="112">
                  <c:v>630.7329070216648</c:v>
                </c:pt>
                <c:pt idx="113">
                  <c:v>633.18559680397027</c:v>
                </c:pt>
                <c:pt idx="114">
                  <c:v>635.62252949372396</c:v>
                </c:pt>
                <c:pt idx="115">
                  <c:v>638.04388563797079</c:v>
                </c:pt>
                <c:pt idx="116">
                  <c:v>640.44984190801392</c:v>
                </c:pt>
                <c:pt idx="117">
                  <c:v>642.84057121497858</c:v>
                </c:pt>
                <c:pt idx="118">
                  <c:v>645.21624282096309</c:v>
                </c:pt>
                <c:pt idx="119">
                  <c:v>647.57702244597897</c:v>
                </c:pt>
                <c:pt idx="120">
                  <c:v>649.92307237087687</c:v>
                </c:pt>
                <c:pt idx="121">
                  <c:v>652.25455153643816</c:v>
                </c:pt>
                <c:pt idx="122">
                  <c:v>654.57161563880845</c:v>
                </c:pt>
                <c:pt idx="123">
                  <c:v>656.87441722143512</c:v>
                </c:pt>
                <c:pt idx="124">
                  <c:v>659.16310576366459</c:v>
                </c:pt>
                <c:pt idx="125">
                  <c:v>661.43782776614762</c:v>
                </c:pt>
                <c:pt idx="126">
                  <c:v>663.69872683319204</c:v>
                </c:pt>
                <c:pt idx="127">
                  <c:v>665.94594375219378</c:v>
                </c:pt>
                <c:pt idx="128">
                  <c:v>668.17961657027524</c:v>
                </c:pt>
                <c:pt idx="129">
                  <c:v>670.39988066824719</c:v>
                </c:pt>
                <c:pt idx="130">
                  <c:v>672.60686883200947</c:v>
                </c:pt>
                <c:pt idx="131">
                  <c:v>674.80071132149828</c:v>
                </c:pt>
                <c:pt idx="132">
                  <c:v>676.98153593728091</c:v>
                </c:pt>
                <c:pt idx="133">
                  <c:v>679.1494680848981</c:v>
                </c:pt>
                <c:pt idx="134">
                  <c:v>681.30463083704342</c:v>
                </c:pt>
                <c:pt idx="135">
                  <c:v>683.44714499367103</c:v>
                </c:pt>
                <c:pt idx="136">
                  <c:v>685.57712914011358</c:v>
                </c:pt>
                <c:pt idx="137">
                  <c:v>687.69469970329135</c:v>
                </c:pt>
                <c:pt idx="138">
                  <c:v>689.79997100608807</c:v>
                </c:pt>
                <c:pt idx="139">
                  <c:v>691.89305531996774</c:v>
                </c:pt>
                <c:pt idx="140">
                  <c:v>693.97406291589891</c:v>
                </c:pt>
                <c:pt idx="141">
                  <c:v>696.04310211365498</c:v>
                </c:pt>
                <c:pt idx="142">
                  <c:v>698.10027932955302</c:v>
                </c:pt>
                <c:pt idx="143">
                  <c:v>700.14569912268973</c:v>
                </c:pt>
                <c:pt idx="144">
                  <c:v>702.1794642397341</c:v>
                </c:pt>
                <c:pt idx="145">
                  <c:v>704.20167565833015</c:v>
                </c:pt>
                <c:pt idx="146">
                  <c:v>706.21243262916289</c:v>
                </c:pt>
                <c:pt idx="147">
                  <c:v>708.21183271673738</c:v>
                </c:pt>
                <c:pt idx="148">
                  <c:v>710.19997183891803</c:v>
                </c:pt>
                <c:pt idx="149">
                  <c:v>712.17694430527581</c:v>
                </c:pt>
                <c:pt idx="150">
                  <c:v>714.14284285428505</c:v>
                </c:pt>
                <c:pt idx="151">
                  <c:v>716.09775868941244</c:v>
                </c:pt>
                <c:pt idx="152">
                  <c:v>718.04178151413998</c:v>
                </c:pt>
                <c:pt idx="153">
                  <c:v>719.97499956595721</c:v>
                </c:pt>
                <c:pt idx="154">
                  <c:v>721.89749964936163</c:v>
                </c:pt>
                <c:pt idx="155">
                  <c:v>723.80936716790291</c:v>
                </c:pt>
                <c:pt idx="156">
                  <c:v>725.71068615530248</c:v>
                </c:pt>
                <c:pt idx="157">
                  <c:v>727.60153930568345</c:v>
                </c:pt>
                <c:pt idx="158">
                  <c:v>729.48200800293898</c:v>
                </c:pt>
                <c:pt idx="159">
                  <c:v>731.35217234927256</c:v>
                </c:pt>
                <c:pt idx="160">
                  <c:v>733.21211119293434</c:v>
                </c:pt>
                <c:pt idx="161">
                  <c:v>735.06190215518586</c:v>
                </c:pt>
                <c:pt idx="162">
                  <c:v>736.90162165651395</c:v>
                </c:pt>
                <c:pt idx="163">
                  <c:v>738.73134494212445</c:v>
                </c:pt>
                <c:pt idx="164">
                  <c:v>740.55114610673581</c:v>
                </c:pt>
                <c:pt idx="165">
                  <c:v>742.36109811869858</c:v>
                </c:pt>
                <c:pt idx="166">
                  <c:v>744.16127284346101</c:v>
                </c:pt>
                <c:pt idx="167">
                  <c:v>745.95174106640434</c:v>
                </c:pt>
                <c:pt idx="168">
                  <c:v>747.73257251506709</c:v>
                </c:pt>
                <c:pt idx="169">
                  <c:v>749.50383588077784</c:v>
                </c:pt>
                <c:pt idx="170">
                  <c:v>751.26559883971788</c:v>
                </c:pt>
                <c:pt idx="171">
                  <c:v>753.01792807342906</c:v>
                </c:pt>
                <c:pt idx="172">
                  <c:v>754.76088928878664</c:v>
                </c:pt>
                <c:pt idx="173">
                  <c:v>756.49454723745362</c:v>
                </c:pt>
                <c:pt idx="174">
                  <c:v>758.21896573483309</c:v>
                </c:pt>
                <c:pt idx="175">
                  <c:v>759.9342076785332</c:v>
                </c:pt>
                <c:pt idx="176">
                  <c:v>761.6403350663619</c:v>
                </c:pt>
                <c:pt idx="177">
                  <c:v>763.33740901386454</c:v>
                </c:pt>
                <c:pt idx="178">
                  <c:v>765.0254897714193</c:v>
                </c:pt>
                <c:pt idx="179">
                  <c:v>766.70463674090297</c:v>
                </c:pt>
                <c:pt idx="180">
                  <c:v>768.37490849194182</c:v>
                </c:pt>
                <c:pt idx="181">
                  <c:v>770.03636277775865</c:v>
                </c:pt>
                <c:pt idx="182">
                  <c:v>771.68905655062906</c:v>
                </c:pt>
                <c:pt idx="183">
                  <c:v>773.33304597695815</c:v>
                </c:pt>
                <c:pt idx="184">
                  <c:v>774.96838645198943</c:v>
                </c:pt>
                <c:pt idx="185">
                  <c:v>776.59513261415691</c:v>
                </c:pt>
                <c:pt idx="186">
                  <c:v>778.21333835909036</c:v>
                </c:pt>
                <c:pt idx="187">
                  <c:v>779.8230568532839</c:v>
                </c:pt>
                <c:pt idx="188">
                  <c:v>781.4243405474391</c:v>
                </c:pt>
                <c:pt idx="189">
                  <c:v>783.01724118949005</c:v>
                </c:pt>
                <c:pt idx="190">
                  <c:v>784.60180983732118</c:v>
                </c:pt>
                <c:pt idx="191">
                  <c:v>786.17809687118609</c:v>
                </c:pt>
                <c:pt idx="192">
                  <c:v>787.74615200583492</c:v>
                </c:pt>
                <c:pt idx="193">
                  <c:v>789.30602430236149</c:v>
                </c:pt>
                <c:pt idx="194">
                  <c:v>790.857762179774</c:v>
                </c:pt>
                <c:pt idx="195">
                  <c:v>792.40141342630125</c:v>
                </c:pt>
                <c:pt idx="196">
                  <c:v>793.93702521043826</c:v>
                </c:pt>
                <c:pt idx="197">
                  <c:v>795.46464409174087</c:v>
                </c:pt>
                <c:pt idx="198">
                  <c:v>796.9843160313759</c:v>
                </c:pt>
                <c:pt idx="199">
                  <c:v>798.49608640243196</c:v>
                </c:pt>
                <c:pt idx="200">
                  <c:v>800</c:v>
                </c:pt>
                <c:pt idx="201">
                  <c:v>801.49610105102818</c:v>
                </c:pt>
                <c:pt idx="202">
                  <c:v>802.98443322395735</c:v>
                </c:pt>
                <c:pt idx="203">
                  <c:v>804.46503963814359</c:v>
                </c:pt>
                <c:pt idx="204">
                  <c:v>805.93796287307373</c:v>
                </c:pt>
                <c:pt idx="205">
                  <c:v>807.40324497737811</c:v>
                </c:pt>
                <c:pt idx="206">
                  <c:v>808.86092747764746</c:v>
                </c:pt>
                <c:pt idx="207">
                  <c:v>810.31105138705846</c:v>
                </c:pt>
                <c:pt idx="208">
                  <c:v>811.75365721381263</c:v>
                </c:pt>
                <c:pt idx="209">
                  <c:v>813.18878496939442</c:v>
                </c:pt>
                <c:pt idx="210">
                  <c:v>814.61647417665199</c:v>
                </c:pt>
                <c:pt idx="211">
                  <c:v>816.03676387770668</c:v>
                </c:pt>
                <c:pt idx="212">
                  <c:v>817.44969264169401</c:v>
                </c:pt>
                <c:pt idx="213">
                  <c:v>818.85529857234235</c:v>
                </c:pt>
                <c:pt idx="214">
                  <c:v>820.25361931539203</c:v>
                </c:pt>
                <c:pt idx="215">
                  <c:v>821.64469206585886</c:v>
                </c:pt>
                <c:pt idx="216">
                  <c:v>823.02855357514784</c:v>
                </c:pt>
                <c:pt idx="217">
                  <c:v>824.40524015801839</c:v>
                </c:pt>
                <c:pt idx="218">
                  <c:v>825.7747876994066</c:v>
                </c:pt>
                <c:pt idx="219">
                  <c:v>827.13723166110708</c:v>
                </c:pt>
                <c:pt idx="220">
                  <c:v>828.49260708831912</c:v>
                </c:pt>
                <c:pt idx="221">
                  <c:v>829.84094861605854</c:v>
                </c:pt>
                <c:pt idx="222">
                  <c:v>831.18229047544082</c:v>
                </c:pt>
                <c:pt idx="223">
                  <c:v>832.51666649983656</c:v>
                </c:pt>
                <c:pt idx="224">
                  <c:v>833.84411013090448</c:v>
                </c:pt>
                <c:pt idx="225">
                  <c:v>835.16465442450328</c:v>
                </c:pt>
                <c:pt idx="226">
                  <c:v>836.47833205648544</c:v>
                </c:pt>
                <c:pt idx="227">
                  <c:v>837.78517532837736</c:v>
                </c:pt>
                <c:pt idx="228">
                  <c:v>839.08521617294628</c:v>
                </c:pt>
                <c:pt idx="229">
                  <c:v>840.37848615965891</c:v>
                </c:pt>
                <c:pt idx="230">
                  <c:v>841.66501650003249</c:v>
                </c:pt>
                <c:pt idx="231">
                  <c:v>842.94483805288235</c:v>
                </c:pt>
                <c:pt idx="232">
                  <c:v>844.21798132946685</c:v>
                </c:pt>
                <c:pt idx="233">
                  <c:v>845.48447649853392</c:v>
                </c:pt>
                <c:pt idx="234">
                  <c:v>846.74435339127001</c:v>
                </c:pt>
                <c:pt idx="235">
                  <c:v>847.9976415061542</c:v>
                </c:pt>
                <c:pt idx="236">
                  <c:v>849.24437001371996</c:v>
                </c:pt>
                <c:pt idx="237">
                  <c:v>850.48456776122634</c:v>
                </c:pt>
                <c:pt idx="238">
                  <c:v>851.71826327724125</c:v>
                </c:pt>
                <c:pt idx="239">
                  <c:v>852.94548477613739</c:v>
                </c:pt>
                <c:pt idx="240">
                  <c:v>854.16626016250484</c:v>
                </c:pt>
                <c:pt idx="241">
                  <c:v>855.3806170354809</c:v>
                </c:pt>
                <c:pt idx="242">
                  <c:v>856.58858269299856</c:v>
                </c:pt>
                <c:pt idx="243">
                  <c:v>857.79018413595759</c:v>
                </c:pt>
                <c:pt idx="244">
                  <c:v>858.98544807231747</c:v>
                </c:pt>
                <c:pt idx="245">
                  <c:v>860.17440092111553</c:v>
                </c:pt>
                <c:pt idx="246">
                  <c:v>861.35706881641136</c:v>
                </c:pt>
                <c:pt idx="247">
                  <c:v>862.53347761115913</c:v>
                </c:pt>
                <c:pt idx="248">
                  <c:v>863.70365288100993</c:v>
                </c:pt>
                <c:pt idx="249">
                  <c:v>864.86761992804429</c:v>
                </c:pt>
                <c:pt idx="250">
                  <c:v>866.02540378443859</c:v>
                </c:pt>
                <c:pt idx="251">
                  <c:v>867.17702921606497</c:v>
                </c:pt>
                <c:pt idx="252">
                  <c:v>868.32252072602614</c:v>
                </c:pt>
                <c:pt idx="253">
                  <c:v>869.46190255812814</c:v>
                </c:pt>
                <c:pt idx="254">
                  <c:v>870.59519870029146</c:v>
                </c:pt>
                <c:pt idx="255">
                  <c:v>871.72243288790037</c:v>
                </c:pt>
                <c:pt idx="256">
                  <c:v>872.84362860709473</c:v>
                </c:pt>
                <c:pt idx="257">
                  <c:v>873.95880909800314</c:v>
                </c:pt>
                <c:pt idx="258">
                  <c:v>875.06799735791958</c:v>
                </c:pt>
                <c:pt idx="259">
                  <c:v>876.17121614442465</c:v>
                </c:pt>
                <c:pt idx="260">
                  <c:v>877.2684879784523</c:v>
                </c:pt>
                <c:pt idx="261">
                  <c:v>878.35983514730458</c:v>
                </c:pt>
                <c:pt idx="262">
                  <c:v>879.44527970761203</c:v>
                </c:pt>
                <c:pt idx="263">
                  <c:v>880.52484348824589</c:v>
                </c:pt>
                <c:pt idx="264">
                  <c:v>881.59854809317824</c:v>
                </c:pt>
                <c:pt idx="265">
                  <c:v>882.66641490429436</c:v>
                </c:pt>
                <c:pt idx="266">
                  <c:v>883.72846508415694</c:v>
                </c:pt>
                <c:pt idx="267">
                  <c:v>884.7847195787233</c:v>
                </c:pt>
                <c:pt idx="268">
                  <c:v>885.83519912001691</c:v>
                </c:pt>
                <c:pt idx="269">
                  <c:v>886.87992422875379</c:v>
                </c:pt>
                <c:pt idx="270">
                  <c:v>887.91891521692457</c:v>
                </c:pt>
                <c:pt idx="271">
                  <c:v>888.95219219033368</c:v>
                </c:pt>
                <c:pt idx="272">
                  <c:v>889.97977505109634</c:v>
                </c:pt>
                <c:pt idx="273">
                  <c:v>891.00168350009301</c:v>
                </c:pt>
                <c:pt idx="274">
                  <c:v>892.01793703938483</c:v>
                </c:pt>
                <c:pt idx="275">
                  <c:v>893.02855497458756</c:v>
                </c:pt>
                <c:pt idx="276">
                  <c:v>894.03355641720736</c:v>
                </c:pt>
                <c:pt idx="277">
                  <c:v>895.03296028693831</c:v>
                </c:pt>
                <c:pt idx="278">
                  <c:v>896.02678531392132</c:v>
                </c:pt>
                <c:pt idx="279">
                  <c:v>897.01505004096782</c:v>
                </c:pt>
                <c:pt idx="280">
                  <c:v>897.99777282574598</c:v>
                </c:pt>
                <c:pt idx="281">
                  <c:v>898.97497184293184</c:v>
                </c:pt>
                <c:pt idx="282">
                  <c:v>899.94666508632611</c:v>
                </c:pt>
                <c:pt idx="283">
                  <c:v>900.91287037093662</c:v>
                </c:pt>
                <c:pt idx="284">
                  <c:v>901.87360533502692</c:v>
                </c:pt>
                <c:pt idx="285">
                  <c:v>902.82888744213324</c:v>
                </c:pt>
                <c:pt idx="286">
                  <c:v>903.77873398304746</c:v>
                </c:pt>
                <c:pt idx="287">
                  <c:v>904.72316207777067</c:v>
                </c:pt>
                <c:pt idx="288">
                  <c:v>905.66218867743396</c:v>
                </c:pt>
                <c:pt idx="289">
                  <c:v>906.5958305661901</c:v>
                </c:pt>
                <c:pt idx="290">
                  <c:v>907.52410436307423</c:v>
                </c:pt>
                <c:pt idx="291">
                  <c:v>908.44702652383648</c:v>
                </c:pt>
                <c:pt idx="292">
                  <c:v>909.36461334274497</c:v>
                </c:pt>
                <c:pt idx="293">
                  <c:v>910.2768809543611</c:v>
                </c:pt>
                <c:pt idx="294">
                  <c:v>911.18384533528683</c:v>
                </c:pt>
                <c:pt idx="295">
                  <c:v>912.08552230588555</c:v>
                </c:pt>
                <c:pt idx="296">
                  <c:v>912.98192753197475</c:v>
                </c:pt>
                <c:pt idx="297">
                  <c:v>913.87307652649451</c:v>
                </c:pt>
                <c:pt idx="298">
                  <c:v>914.75898465114847</c:v>
                </c:pt>
                <c:pt idx="299">
                  <c:v>915.63966711802084</c:v>
                </c:pt>
                <c:pt idx="300">
                  <c:v>916.51513899116799</c:v>
                </c:pt>
                <c:pt idx="301">
                  <c:v>917.38541518818579</c:v>
                </c:pt>
                <c:pt idx="302">
                  <c:v>918.25051048175305</c:v>
                </c:pt>
                <c:pt idx="303">
                  <c:v>919.11043950115152</c:v>
                </c:pt>
                <c:pt idx="304">
                  <c:v>919.96521673376321</c:v>
                </c:pt>
                <c:pt idx="305">
                  <c:v>920.81485652654408</c:v>
                </c:pt>
                <c:pt idx="306">
                  <c:v>921.65937308747641</c:v>
                </c:pt>
                <c:pt idx="307">
                  <c:v>922.49878048699884</c:v>
                </c:pt>
                <c:pt idx="308">
                  <c:v>923.33309265941512</c:v>
                </c:pt>
                <c:pt idx="309">
                  <c:v>924.16232340428166</c:v>
                </c:pt>
                <c:pt idx="310">
                  <c:v>924.98648638777422</c:v>
                </c:pt>
                <c:pt idx="311">
                  <c:v>925.80559514403456</c:v>
                </c:pt>
                <c:pt idx="312">
                  <c:v>926.61966307649652</c:v>
                </c:pt>
                <c:pt idx="313">
                  <c:v>927.42870345919312</c:v>
                </c:pt>
                <c:pt idx="314">
                  <c:v>928.23272943804341</c:v>
                </c:pt>
                <c:pt idx="315">
                  <c:v>929.03175403212128</c:v>
                </c:pt>
                <c:pt idx="316">
                  <c:v>929.82579013490476</c:v>
                </c:pt>
                <c:pt idx="317">
                  <c:v>930.61485051550733</c:v>
                </c:pt>
                <c:pt idx="318">
                  <c:v>931.39894781989096</c:v>
                </c:pt>
                <c:pt idx="319">
                  <c:v>932.17809457206192</c:v>
                </c:pt>
                <c:pt idx="320">
                  <c:v>932.95230317524806</c:v>
                </c:pt>
                <c:pt idx="321">
                  <c:v>933.72158591306004</c:v>
                </c:pt>
                <c:pt idx="322">
                  <c:v>934.48595495063489</c:v>
                </c:pt>
                <c:pt idx="323">
                  <c:v>935.24542233576312</c:v>
                </c:pt>
                <c:pt idx="324">
                  <c:v>936</c:v>
                </c:pt>
                <c:pt idx="325">
                  <c:v>936.74969975975978</c:v>
                </c:pt>
                <c:pt idx="326">
                  <c:v>937.49453331739483</c:v>
                </c:pt>
                <c:pt idx="327">
                  <c:v>938.2345122622595</c:v>
                </c:pt>
                <c:pt idx="328">
                  <c:v>938.96964807175743</c:v>
                </c:pt>
                <c:pt idx="329">
                  <c:v>939.69995211237506</c:v>
                </c:pt>
                <c:pt idx="330">
                  <c:v>940.42543564069979</c:v>
                </c:pt>
                <c:pt idx="331">
                  <c:v>941.14610980442353</c:v>
                </c:pt>
                <c:pt idx="332">
                  <c:v>941.86198564333188</c:v>
                </c:pt>
                <c:pt idx="333">
                  <c:v>942.57307409027976</c:v>
                </c:pt>
                <c:pt idx="334">
                  <c:v>943.279385972152</c:v>
                </c:pt>
                <c:pt idx="335">
                  <c:v>943.98093201081133</c:v>
                </c:pt>
                <c:pt idx="336">
                  <c:v>944.67772282403268</c:v>
                </c:pt>
                <c:pt idx="337">
                  <c:v>945.36976892642383</c:v>
                </c:pt>
                <c:pt idx="338">
                  <c:v>946.05708073033315</c:v>
                </c:pt>
                <c:pt idx="339">
                  <c:v>946.73966854674472</c:v>
                </c:pt>
                <c:pt idx="340">
                  <c:v>947.41754258616095</c:v>
                </c:pt>
                <c:pt idx="341">
                  <c:v>948.09071295947206</c:v>
                </c:pt>
                <c:pt idx="342">
                  <c:v>948.7591896788141</c:v>
                </c:pt>
                <c:pt idx="343">
                  <c:v>949.42298265841453</c:v>
                </c:pt>
                <c:pt idx="344">
                  <c:v>950.08210171542544</c:v>
                </c:pt>
                <c:pt idx="345">
                  <c:v>950.73655657074642</c:v>
                </c:pt>
                <c:pt idx="346">
                  <c:v>951.38635684983421</c:v>
                </c:pt>
                <c:pt idx="347">
                  <c:v>952.03151208350243</c:v>
                </c:pt>
                <c:pt idx="348">
                  <c:v>952.67203170870926</c:v>
                </c:pt>
                <c:pt idx="349">
                  <c:v>953.3079250693346</c:v>
                </c:pt>
                <c:pt idx="350">
                  <c:v>953.93920141694559</c:v>
                </c:pt>
                <c:pt idx="351">
                  <c:v>954.56586991155302</c:v>
                </c:pt>
                <c:pt idx="352">
                  <c:v>955.1879396223552</c:v>
                </c:pt>
                <c:pt idx="353">
                  <c:v>955.80541952847284</c:v>
                </c:pt>
                <c:pt idx="354">
                  <c:v>956.41831851967368</c:v>
                </c:pt>
                <c:pt idx="355">
                  <c:v>957.0266453970861</c:v>
                </c:pt>
                <c:pt idx="356">
                  <c:v>957.63040887390366</c:v>
                </c:pt>
                <c:pt idx="357">
                  <c:v>958.2296175760797</c:v>
                </c:pt>
                <c:pt idx="358">
                  <c:v>958.82428004301187</c:v>
                </c:pt>
                <c:pt idx="359">
                  <c:v>959.41440472821751</c:v>
                </c:pt>
                <c:pt idx="360">
                  <c:v>960</c:v>
                </c:pt>
                <c:pt idx="361">
                  <c:v>960.58107414210485</c:v>
                </c:pt>
                <c:pt idx="362">
                  <c:v>961.15763535436793</c:v>
                </c:pt>
                <c:pt idx="363">
                  <c:v>961.72969175335334</c:v>
                </c:pt>
                <c:pt idx="364">
                  <c:v>962.29725137298408</c:v>
                </c:pt>
                <c:pt idx="365">
                  <c:v>962.86032216516219</c:v>
                </c:pt>
                <c:pt idx="366">
                  <c:v>963.41891200038208</c:v>
                </c:pt>
                <c:pt idx="367">
                  <c:v>963.97302866833365</c:v>
                </c:pt>
                <c:pt idx="368">
                  <c:v>964.52267987849825</c:v>
                </c:pt>
                <c:pt idx="369">
                  <c:v>965.06787326073595</c:v>
                </c:pt>
                <c:pt idx="370">
                  <c:v>965.60861636586492</c:v>
                </c:pt>
                <c:pt idx="371">
                  <c:v>966.14491666623178</c:v>
                </c:pt>
                <c:pt idx="372">
                  <c:v>966.67678155627596</c:v>
                </c:pt>
                <c:pt idx="373">
                  <c:v>967.20421835308389</c:v>
                </c:pt>
                <c:pt idx="374">
                  <c:v>967.72723429693758</c:v>
                </c:pt>
                <c:pt idx="375">
                  <c:v>968.24583655185427</c:v>
                </c:pt>
                <c:pt idx="376">
                  <c:v>968.76003220611858</c:v>
                </c:pt>
                <c:pt idx="377">
                  <c:v>969.2698282728087</c:v>
                </c:pt>
                <c:pt idx="378">
                  <c:v>969.77523169031292</c:v>
                </c:pt>
                <c:pt idx="379">
                  <c:v>970.27624932284107</c:v>
                </c:pt>
                <c:pt idx="380">
                  <c:v>970.77288796092773</c:v>
                </c:pt>
                <c:pt idx="381">
                  <c:v>971.26515432192866</c:v>
                </c:pt>
                <c:pt idx="382">
                  <c:v>971.75305505051028</c:v>
                </c:pt>
                <c:pt idx="383">
                  <c:v>972.23659671913197</c:v>
                </c:pt>
                <c:pt idx="384">
                  <c:v>972.71578582852248</c:v>
                </c:pt>
                <c:pt idx="385">
                  <c:v>973.19062880814874</c:v>
                </c:pt>
                <c:pt idx="386">
                  <c:v>973.66113201667861</c:v>
                </c:pt>
                <c:pt idx="387">
                  <c:v>974.12730174243654</c:v>
                </c:pt>
                <c:pt idx="388">
                  <c:v>974.58914420385372</c:v>
                </c:pt>
                <c:pt idx="389">
                  <c:v>975.04666554991104</c:v>
                </c:pt>
                <c:pt idx="390">
                  <c:v>975.49987186057592</c:v>
                </c:pt>
                <c:pt idx="391">
                  <c:v>975.94876914723352</c:v>
                </c:pt>
                <c:pt idx="392">
                  <c:v>976.39336335311089</c:v>
                </c:pt>
                <c:pt idx="393">
                  <c:v>976.83366035369602</c:v>
                </c:pt>
                <c:pt idx="394">
                  <c:v>977.26966595715021</c:v>
                </c:pt>
                <c:pt idx="395">
                  <c:v>977.70138590471481</c:v>
                </c:pt>
                <c:pt idx="396">
                  <c:v>978.12882587111199</c:v>
                </c:pt>
                <c:pt idx="397">
                  <c:v>978.55199146493999</c:v>
                </c:pt>
                <c:pt idx="398">
                  <c:v>978.97088822906267</c:v>
                </c:pt>
                <c:pt idx="399">
                  <c:v>979.38552164099303</c:v>
                </c:pt>
                <c:pt idx="400">
                  <c:v>979.79589711327128</c:v>
                </c:pt>
                <c:pt idx="401">
                  <c:v>980.20201999383778</c:v>
                </c:pt>
                <c:pt idx="402">
                  <c:v>980.60389556640041</c:v>
                </c:pt>
                <c:pt idx="403">
                  <c:v>981.00152905079608</c:v>
                </c:pt>
                <c:pt idx="404">
                  <c:v>981.39492560334747</c:v>
                </c:pt>
                <c:pt idx="405">
                  <c:v>981.78409031721435</c:v>
                </c:pt>
                <c:pt idx="406">
                  <c:v>982.16902822273926</c:v>
                </c:pt>
                <c:pt idx="407">
                  <c:v>982.54974428778928</c:v>
                </c:pt>
                <c:pt idx="408">
                  <c:v>982.92624341809085</c:v>
                </c:pt>
                <c:pt idx="409">
                  <c:v>983.29853045756147</c:v>
                </c:pt>
                <c:pt idx="410">
                  <c:v>983.66661018863499</c:v>
                </c:pt>
                <c:pt idx="411">
                  <c:v>984.03048733258265</c:v>
                </c:pt>
                <c:pt idx="412">
                  <c:v>984.3901665498289</c:v>
                </c:pt>
                <c:pt idx="413">
                  <c:v>984.74565244026337</c:v>
                </c:pt>
                <c:pt idx="414">
                  <c:v>985.0969495435462</c:v>
                </c:pt>
                <c:pt idx="415">
                  <c:v>985.44406233941049</c:v>
                </c:pt>
                <c:pt idx="416">
                  <c:v>985.78699524795923</c:v>
                </c:pt>
                <c:pt idx="417">
                  <c:v>986.12575262995745</c:v>
                </c:pt>
                <c:pt idx="418">
                  <c:v>986.46033878712024</c:v>
                </c:pt>
                <c:pt idx="419">
                  <c:v>986.79075796239601</c:v>
                </c:pt>
                <c:pt idx="420">
                  <c:v>987.1170143402453</c:v>
                </c:pt>
                <c:pt idx="421">
                  <c:v>987.43911204691506</c:v>
                </c:pt>
                <c:pt idx="422">
                  <c:v>987.75705515070865</c:v>
                </c:pt>
                <c:pt idx="423">
                  <c:v>988.07084766225137</c:v>
                </c:pt>
                <c:pt idx="424">
                  <c:v>988.38049353475208</c:v>
                </c:pt>
                <c:pt idx="425">
                  <c:v>988.68599666425939</c:v>
                </c:pt>
                <c:pt idx="426">
                  <c:v>988.98736088991552</c:v>
                </c:pt>
                <c:pt idx="427">
                  <c:v>989.28458999420388</c:v>
                </c:pt>
                <c:pt idx="428">
                  <c:v>989.57768770319387</c:v>
                </c:pt>
                <c:pt idx="429">
                  <c:v>989.86665768678154</c:v>
                </c:pt>
                <c:pt idx="430">
                  <c:v>990.15150355892501</c:v>
                </c:pt>
                <c:pt idx="431">
                  <c:v>990.43222887787738</c:v>
                </c:pt>
                <c:pt idx="432">
                  <c:v>990.70883714641411</c:v>
                </c:pt>
                <c:pt idx="433">
                  <c:v>990.98133181205787</c:v>
                </c:pt>
                <c:pt idx="434">
                  <c:v>991.2497162672986</c:v>
                </c:pt>
                <c:pt idx="435">
                  <c:v>991.51399384980948</c:v>
                </c:pt>
                <c:pt idx="436">
                  <c:v>991.77416784265961</c:v>
                </c:pt>
                <c:pt idx="437">
                  <c:v>992.03024147452277</c:v>
                </c:pt>
                <c:pt idx="438">
                  <c:v>992.28221791988187</c:v>
                </c:pt>
                <c:pt idx="439">
                  <c:v>992.53010029923018</c:v>
                </c:pt>
                <c:pt idx="440">
                  <c:v>992.77389167926856</c:v>
                </c:pt>
                <c:pt idx="441">
                  <c:v>993.01359507309871</c:v>
                </c:pt>
                <c:pt idx="442">
                  <c:v>993.24921344041343</c:v>
                </c:pt>
                <c:pt idx="443">
                  <c:v>993.48074968768265</c:v>
                </c:pt>
                <c:pt idx="444">
                  <c:v>993.70820666833583</c:v>
                </c:pt>
                <c:pt idx="445">
                  <c:v>993.93158718294092</c:v>
                </c:pt>
                <c:pt idx="446">
                  <c:v>994.15089397937982</c:v>
                </c:pt>
                <c:pt idx="447">
                  <c:v>994.36612975302012</c:v>
                </c:pt>
                <c:pt idx="448">
                  <c:v>994.57729714688344</c:v>
                </c:pt>
                <c:pt idx="449">
                  <c:v>994.78439875180993</c:v>
                </c:pt>
                <c:pt idx="450">
                  <c:v>994.98743710661995</c:v>
                </c:pt>
                <c:pt idx="451">
                  <c:v>995.18641469827151</c:v>
                </c:pt>
                <c:pt idx="452">
                  <c:v>995.38133396201476</c:v>
                </c:pt>
                <c:pt idx="453">
                  <c:v>995.57219728154325</c:v>
                </c:pt>
                <c:pt idx="454">
                  <c:v>995.75900698914097</c:v>
                </c:pt>
                <c:pt idx="455">
                  <c:v>995.941765365827</c:v>
                </c:pt>
                <c:pt idx="456">
                  <c:v>996.12047464149634</c:v>
                </c:pt>
                <c:pt idx="457">
                  <c:v>996.29513699505731</c:v>
                </c:pt>
                <c:pt idx="458">
                  <c:v>996.46575455456571</c:v>
                </c:pt>
                <c:pt idx="459">
                  <c:v>996.63232939735599</c:v>
                </c:pt>
                <c:pt idx="460">
                  <c:v>996.794863550169</c:v>
                </c:pt>
                <c:pt idx="461">
                  <c:v>996.9533589892759</c:v>
                </c:pt>
                <c:pt idx="462">
                  <c:v>997.10781764059993</c:v>
                </c:pt>
                <c:pt idx="463">
                  <c:v>997.25824137983443</c:v>
                </c:pt>
                <c:pt idx="464">
                  <c:v>997.40463203255683</c:v>
                </c:pt>
                <c:pt idx="465">
                  <c:v>997.54699137434125</c:v>
                </c:pt>
                <c:pt idx="466">
                  <c:v>997.68532113086644</c:v>
                </c:pt>
                <c:pt idx="467">
                  <c:v>997.81962297802102</c:v>
                </c:pt>
                <c:pt idx="468">
                  <c:v>997.94989854200594</c:v>
                </c:pt>
                <c:pt idx="469">
                  <c:v>998.07614939943335</c:v>
                </c:pt>
                <c:pt idx="470">
                  <c:v>998.19837707742238</c:v>
                </c:pt>
                <c:pt idx="471">
                  <c:v>998.3165830536924</c:v>
                </c:pt>
                <c:pt idx="472">
                  <c:v>998.43076875665247</c:v>
                </c:pt>
                <c:pt idx="473">
                  <c:v>998.54093556548798</c:v>
                </c:pt>
                <c:pt idx="474">
                  <c:v>998.64708481024468</c:v>
                </c:pt>
                <c:pt idx="475">
                  <c:v>998.749217771909</c:v>
                </c:pt>
                <c:pt idx="476">
                  <c:v>998.84733568248555</c:v>
                </c:pt>
                <c:pt idx="477">
                  <c:v>998.9414397250722</c:v>
                </c:pt>
                <c:pt idx="478">
                  <c:v>999.03153103393083</c:v>
                </c:pt>
                <c:pt idx="479">
                  <c:v>999.11761069455679</c:v>
                </c:pt>
                <c:pt idx="480">
                  <c:v>999.19967974374367</c:v>
                </c:pt>
                <c:pt idx="481">
                  <c:v>999.27773916964645</c:v>
                </c:pt>
                <c:pt idx="482">
                  <c:v>999.3517899118408</c:v>
                </c:pt>
                <c:pt idx="483">
                  <c:v>999.42183286137993</c:v>
                </c:pt>
                <c:pt idx="484">
                  <c:v>999.48786886084815</c:v>
                </c:pt>
                <c:pt idx="485">
                  <c:v>999.54989870441182</c:v>
                </c:pt>
                <c:pt idx="486">
                  <c:v>999.60792313786715</c:v>
                </c:pt>
                <c:pt idx="487">
                  <c:v>999.6619428586846</c:v>
                </c:pt>
                <c:pt idx="488">
                  <c:v>999.71195851605171</c:v>
                </c:pt>
                <c:pt idx="489">
                  <c:v>999.75797071091165</c:v>
                </c:pt>
                <c:pt idx="490">
                  <c:v>999.79997999599902</c:v>
                </c:pt>
                <c:pt idx="491">
                  <c:v>999.83798687587375</c:v>
                </c:pt>
                <c:pt idx="492">
                  <c:v>999.8719918069512</c:v>
                </c:pt>
                <c:pt idx="493">
                  <c:v>999.90199519752935</c:v>
                </c:pt>
                <c:pt idx="494">
                  <c:v>999.92799740781334</c:v>
                </c:pt>
                <c:pt idx="495">
                  <c:v>999.94999874993755</c:v>
                </c:pt>
                <c:pt idx="496">
                  <c:v>999.96799948798366</c:v>
                </c:pt>
                <c:pt idx="497">
                  <c:v>999.98199983799714</c:v>
                </c:pt>
                <c:pt idx="498">
                  <c:v>999.99199996799973</c:v>
                </c:pt>
                <c:pt idx="499">
                  <c:v>999.99799999799995</c:v>
                </c:pt>
                <c:pt idx="500">
                  <c:v>1000</c:v>
                </c:pt>
                <c:pt idx="501">
                  <c:v>999.99799999799995</c:v>
                </c:pt>
                <c:pt idx="502">
                  <c:v>999.99199996799973</c:v>
                </c:pt>
                <c:pt idx="503">
                  <c:v>999.98199983799714</c:v>
                </c:pt>
                <c:pt idx="504">
                  <c:v>999.96799948798366</c:v>
                </c:pt>
                <c:pt idx="505">
                  <c:v>999.94999874993755</c:v>
                </c:pt>
                <c:pt idx="506">
                  <c:v>999.92799740781334</c:v>
                </c:pt>
                <c:pt idx="507">
                  <c:v>999.90199519752935</c:v>
                </c:pt>
                <c:pt idx="508">
                  <c:v>999.8719918069512</c:v>
                </c:pt>
                <c:pt idx="509">
                  <c:v>999.83798687587375</c:v>
                </c:pt>
                <c:pt idx="510">
                  <c:v>999.79997999599902</c:v>
                </c:pt>
                <c:pt idx="511">
                  <c:v>999.75797071091165</c:v>
                </c:pt>
                <c:pt idx="512">
                  <c:v>999.71195851605171</c:v>
                </c:pt>
                <c:pt idx="513">
                  <c:v>999.6619428586846</c:v>
                </c:pt>
                <c:pt idx="514">
                  <c:v>999.60792313786715</c:v>
                </c:pt>
                <c:pt idx="515">
                  <c:v>999.54989870441182</c:v>
                </c:pt>
                <c:pt idx="516">
                  <c:v>999.48786886084815</c:v>
                </c:pt>
                <c:pt idx="517">
                  <c:v>999.42183286137993</c:v>
                </c:pt>
                <c:pt idx="518">
                  <c:v>999.3517899118408</c:v>
                </c:pt>
                <c:pt idx="519">
                  <c:v>999.27773916964645</c:v>
                </c:pt>
                <c:pt idx="520">
                  <c:v>999.19967974374367</c:v>
                </c:pt>
                <c:pt idx="521">
                  <c:v>999.11761069455679</c:v>
                </c:pt>
                <c:pt idx="522">
                  <c:v>999.03153103393083</c:v>
                </c:pt>
                <c:pt idx="523">
                  <c:v>998.9414397250722</c:v>
                </c:pt>
                <c:pt idx="524">
                  <c:v>998.84733568248555</c:v>
                </c:pt>
                <c:pt idx="525">
                  <c:v>998.749217771909</c:v>
                </c:pt>
                <c:pt idx="526">
                  <c:v>998.64708481024468</c:v>
                </c:pt>
                <c:pt idx="527">
                  <c:v>998.54093556548798</c:v>
                </c:pt>
                <c:pt idx="528">
                  <c:v>998.43076875665247</c:v>
                </c:pt>
                <c:pt idx="529">
                  <c:v>998.3165830536924</c:v>
                </c:pt>
                <c:pt idx="530">
                  <c:v>998.19837707742238</c:v>
                </c:pt>
                <c:pt idx="531">
                  <c:v>998.07614939943335</c:v>
                </c:pt>
                <c:pt idx="532">
                  <c:v>997.94989854200594</c:v>
                </c:pt>
                <c:pt idx="533">
                  <c:v>997.81962297802102</c:v>
                </c:pt>
                <c:pt idx="534">
                  <c:v>997.68532113086644</c:v>
                </c:pt>
                <c:pt idx="535">
                  <c:v>997.54699137434125</c:v>
                </c:pt>
                <c:pt idx="536">
                  <c:v>997.40463203255683</c:v>
                </c:pt>
                <c:pt idx="537">
                  <c:v>997.25824137983443</c:v>
                </c:pt>
                <c:pt idx="538">
                  <c:v>997.10781764059993</c:v>
                </c:pt>
                <c:pt idx="539">
                  <c:v>996.9533589892759</c:v>
                </c:pt>
                <c:pt idx="540">
                  <c:v>996.794863550169</c:v>
                </c:pt>
                <c:pt idx="541">
                  <c:v>996.63232939735599</c:v>
                </c:pt>
                <c:pt idx="542">
                  <c:v>996.46575455456571</c:v>
                </c:pt>
                <c:pt idx="543">
                  <c:v>996.29513699505731</c:v>
                </c:pt>
                <c:pt idx="544">
                  <c:v>996.12047464149634</c:v>
                </c:pt>
                <c:pt idx="545">
                  <c:v>995.941765365827</c:v>
                </c:pt>
                <c:pt idx="546">
                  <c:v>995.75900698914097</c:v>
                </c:pt>
                <c:pt idx="547">
                  <c:v>995.57219728154325</c:v>
                </c:pt>
                <c:pt idx="548">
                  <c:v>995.38133396201476</c:v>
                </c:pt>
                <c:pt idx="549">
                  <c:v>995.18641469827151</c:v>
                </c:pt>
                <c:pt idx="550">
                  <c:v>994.98743710661995</c:v>
                </c:pt>
                <c:pt idx="551">
                  <c:v>994.78439875180993</c:v>
                </c:pt>
                <c:pt idx="552">
                  <c:v>994.57729714688344</c:v>
                </c:pt>
                <c:pt idx="553">
                  <c:v>994.36612975302012</c:v>
                </c:pt>
                <c:pt idx="554">
                  <c:v>994.15089397937982</c:v>
                </c:pt>
                <c:pt idx="555">
                  <c:v>993.93158718294092</c:v>
                </c:pt>
                <c:pt idx="556">
                  <c:v>993.70820666833583</c:v>
                </c:pt>
                <c:pt idx="557">
                  <c:v>993.48074968768265</c:v>
                </c:pt>
                <c:pt idx="558">
                  <c:v>993.24921344041343</c:v>
                </c:pt>
                <c:pt idx="559">
                  <c:v>993.01359507309871</c:v>
                </c:pt>
                <c:pt idx="560">
                  <c:v>992.77389167926856</c:v>
                </c:pt>
                <c:pt idx="561">
                  <c:v>992.53010029923018</c:v>
                </c:pt>
                <c:pt idx="562">
                  <c:v>992.28221791988187</c:v>
                </c:pt>
                <c:pt idx="563">
                  <c:v>992.03024147452277</c:v>
                </c:pt>
                <c:pt idx="564">
                  <c:v>991.77416784265961</c:v>
                </c:pt>
                <c:pt idx="565">
                  <c:v>991.51399384980948</c:v>
                </c:pt>
                <c:pt idx="566">
                  <c:v>991.2497162672986</c:v>
                </c:pt>
                <c:pt idx="567">
                  <c:v>990.98133181205787</c:v>
                </c:pt>
                <c:pt idx="568">
                  <c:v>990.70883714641411</c:v>
                </c:pt>
                <c:pt idx="569">
                  <c:v>990.43222887787738</c:v>
                </c:pt>
                <c:pt idx="570">
                  <c:v>990.15150355892501</c:v>
                </c:pt>
                <c:pt idx="571">
                  <c:v>989.86665768678154</c:v>
                </c:pt>
                <c:pt idx="572">
                  <c:v>989.57768770319387</c:v>
                </c:pt>
                <c:pt idx="573">
                  <c:v>989.28458999420388</c:v>
                </c:pt>
                <c:pt idx="574">
                  <c:v>988.98736088991552</c:v>
                </c:pt>
                <c:pt idx="575">
                  <c:v>988.68599666425939</c:v>
                </c:pt>
                <c:pt idx="576">
                  <c:v>988.38049353475208</c:v>
                </c:pt>
                <c:pt idx="577">
                  <c:v>988.07084766225137</c:v>
                </c:pt>
                <c:pt idx="578">
                  <c:v>987.75705515070865</c:v>
                </c:pt>
                <c:pt idx="579">
                  <c:v>987.43911204691506</c:v>
                </c:pt>
                <c:pt idx="580">
                  <c:v>987.1170143402453</c:v>
                </c:pt>
                <c:pt idx="581">
                  <c:v>986.79075796239601</c:v>
                </c:pt>
                <c:pt idx="582">
                  <c:v>986.46033878712024</c:v>
                </c:pt>
                <c:pt idx="583">
                  <c:v>986.12575262995745</c:v>
                </c:pt>
                <c:pt idx="584">
                  <c:v>985.78699524795923</c:v>
                </c:pt>
                <c:pt idx="585">
                  <c:v>985.44406233941049</c:v>
                </c:pt>
                <c:pt idx="586">
                  <c:v>985.0969495435462</c:v>
                </c:pt>
                <c:pt idx="587">
                  <c:v>984.74565244026337</c:v>
                </c:pt>
                <c:pt idx="588">
                  <c:v>984.3901665498289</c:v>
                </c:pt>
                <c:pt idx="589">
                  <c:v>984.03048733258265</c:v>
                </c:pt>
                <c:pt idx="590">
                  <c:v>983.66661018863499</c:v>
                </c:pt>
                <c:pt idx="591">
                  <c:v>983.29853045756147</c:v>
                </c:pt>
                <c:pt idx="592">
                  <c:v>982.92624341809085</c:v>
                </c:pt>
                <c:pt idx="593">
                  <c:v>982.54974428778928</c:v>
                </c:pt>
                <c:pt idx="594">
                  <c:v>982.16902822273926</c:v>
                </c:pt>
                <c:pt idx="595">
                  <c:v>981.78409031721435</c:v>
                </c:pt>
                <c:pt idx="596">
                  <c:v>981.39492560334747</c:v>
                </c:pt>
                <c:pt idx="597">
                  <c:v>981.00152905079608</c:v>
                </c:pt>
                <c:pt idx="598">
                  <c:v>980.60389556640041</c:v>
                </c:pt>
                <c:pt idx="599">
                  <c:v>980.20201999383778</c:v>
                </c:pt>
                <c:pt idx="600">
                  <c:v>979.79589711327128</c:v>
                </c:pt>
                <c:pt idx="601">
                  <c:v>979.38552164099303</c:v>
                </c:pt>
                <c:pt idx="602">
                  <c:v>978.97088822906267</c:v>
                </c:pt>
                <c:pt idx="603">
                  <c:v>978.55199146493999</c:v>
                </c:pt>
                <c:pt idx="604">
                  <c:v>978.12882587111199</c:v>
                </c:pt>
                <c:pt idx="605">
                  <c:v>977.70138590471481</c:v>
                </c:pt>
                <c:pt idx="606">
                  <c:v>977.26966595715021</c:v>
                </c:pt>
                <c:pt idx="607">
                  <c:v>976.83366035369602</c:v>
                </c:pt>
                <c:pt idx="608">
                  <c:v>976.39336335311089</c:v>
                </c:pt>
                <c:pt idx="609">
                  <c:v>975.94876914723352</c:v>
                </c:pt>
                <c:pt idx="610">
                  <c:v>975.49987186057592</c:v>
                </c:pt>
                <c:pt idx="611">
                  <c:v>975.04666554991104</c:v>
                </c:pt>
                <c:pt idx="612">
                  <c:v>974.58914420385372</c:v>
                </c:pt>
                <c:pt idx="613">
                  <c:v>974.12730174243654</c:v>
                </c:pt>
                <c:pt idx="614">
                  <c:v>973.66113201667861</c:v>
                </c:pt>
                <c:pt idx="615">
                  <c:v>973.19062880814874</c:v>
                </c:pt>
                <c:pt idx="616">
                  <c:v>972.71578582852248</c:v>
                </c:pt>
                <c:pt idx="617">
                  <c:v>972.23659671913197</c:v>
                </c:pt>
                <c:pt idx="618">
                  <c:v>971.75305505051028</c:v>
                </c:pt>
                <c:pt idx="619">
                  <c:v>971.26515432192866</c:v>
                </c:pt>
                <c:pt idx="620">
                  <c:v>970.77288796092773</c:v>
                </c:pt>
                <c:pt idx="621">
                  <c:v>970.27624932284107</c:v>
                </c:pt>
                <c:pt idx="622">
                  <c:v>969.77523169031292</c:v>
                </c:pt>
                <c:pt idx="623">
                  <c:v>969.2698282728087</c:v>
                </c:pt>
                <c:pt idx="624">
                  <c:v>968.76003220611858</c:v>
                </c:pt>
                <c:pt idx="625">
                  <c:v>968.24583655185427</c:v>
                </c:pt>
                <c:pt idx="626">
                  <c:v>967.72723429693758</c:v>
                </c:pt>
                <c:pt idx="627">
                  <c:v>967.20421835308389</c:v>
                </c:pt>
                <c:pt idx="628">
                  <c:v>966.67678155627596</c:v>
                </c:pt>
                <c:pt idx="629">
                  <c:v>966.14491666623178</c:v>
                </c:pt>
                <c:pt idx="630">
                  <c:v>965.60861636586492</c:v>
                </c:pt>
                <c:pt idx="631">
                  <c:v>965.06787326073595</c:v>
                </c:pt>
                <c:pt idx="632">
                  <c:v>964.52267987849825</c:v>
                </c:pt>
                <c:pt idx="633">
                  <c:v>963.97302866833365</c:v>
                </c:pt>
                <c:pt idx="634">
                  <c:v>963.41891200038208</c:v>
                </c:pt>
                <c:pt idx="635">
                  <c:v>962.86032216516219</c:v>
                </c:pt>
                <c:pt idx="636">
                  <c:v>962.29725137298408</c:v>
                </c:pt>
                <c:pt idx="637">
                  <c:v>961.72969175335334</c:v>
                </c:pt>
                <c:pt idx="638">
                  <c:v>961.15763535436793</c:v>
                </c:pt>
                <c:pt idx="639">
                  <c:v>960.58107414210485</c:v>
                </c:pt>
                <c:pt idx="640">
                  <c:v>960</c:v>
                </c:pt>
                <c:pt idx="641">
                  <c:v>959.41440472821751</c:v>
                </c:pt>
                <c:pt idx="642">
                  <c:v>958.82428004301187</c:v>
                </c:pt>
                <c:pt idx="643">
                  <c:v>958.2296175760797</c:v>
                </c:pt>
                <c:pt idx="644">
                  <c:v>957.63040887390366</c:v>
                </c:pt>
                <c:pt idx="645">
                  <c:v>957.0266453970861</c:v>
                </c:pt>
                <c:pt idx="646">
                  <c:v>956.41831851967368</c:v>
                </c:pt>
                <c:pt idx="647">
                  <c:v>955.80541952847284</c:v>
                </c:pt>
                <c:pt idx="648">
                  <c:v>955.1879396223552</c:v>
                </c:pt>
                <c:pt idx="649">
                  <c:v>954.56586991155302</c:v>
                </c:pt>
                <c:pt idx="650">
                  <c:v>953.93920141694559</c:v>
                </c:pt>
                <c:pt idx="651">
                  <c:v>953.3079250693346</c:v>
                </c:pt>
                <c:pt idx="652">
                  <c:v>952.67203170870926</c:v>
                </c:pt>
                <c:pt idx="653">
                  <c:v>952.03151208350243</c:v>
                </c:pt>
                <c:pt idx="654">
                  <c:v>951.38635684983421</c:v>
                </c:pt>
                <c:pt idx="655">
                  <c:v>950.73655657074642</c:v>
                </c:pt>
                <c:pt idx="656">
                  <c:v>950.08210171542544</c:v>
                </c:pt>
                <c:pt idx="657">
                  <c:v>949.42298265841453</c:v>
                </c:pt>
                <c:pt idx="658">
                  <c:v>948.7591896788141</c:v>
                </c:pt>
                <c:pt idx="659">
                  <c:v>948.09071295947206</c:v>
                </c:pt>
                <c:pt idx="660">
                  <c:v>947.41754258616095</c:v>
                </c:pt>
                <c:pt idx="661">
                  <c:v>946.73966854674472</c:v>
                </c:pt>
                <c:pt idx="662">
                  <c:v>946.05708073033315</c:v>
                </c:pt>
                <c:pt idx="663">
                  <c:v>945.36976892642383</c:v>
                </c:pt>
                <c:pt idx="664">
                  <c:v>944.67772282403268</c:v>
                </c:pt>
                <c:pt idx="665">
                  <c:v>943.98093201081133</c:v>
                </c:pt>
                <c:pt idx="666">
                  <c:v>943.279385972152</c:v>
                </c:pt>
                <c:pt idx="667">
                  <c:v>942.57307409027976</c:v>
                </c:pt>
                <c:pt idx="668">
                  <c:v>941.86198564333188</c:v>
                </c:pt>
                <c:pt idx="669">
                  <c:v>941.14610980442353</c:v>
                </c:pt>
                <c:pt idx="670">
                  <c:v>940.42543564069979</c:v>
                </c:pt>
                <c:pt idx="671">
                  <c:v>939.69995211237506</c:v>
                </c:pt>
                <c:pt idx="672">
                  <c:v>938.96964807175743</c:v>
                </c:pt>
                <c:pt idx="673">
                  <c:v>938.2345122622595</c:v>
                </c:pt>
                <c:pt idx="674">
                  <c:v>937.49453331739483</c:v>
                </c:pt>
                <c:pt idx="675">
                  <c:v>936.74969975975978</c:v>
                </c:pt>
                <c:pt idx="676">
                  <c:v>936</c:v>
                </c:pt>
                <c:pt idx="677">
                  <c:v>935.24542233576312</c:v>
                </c:pt>
                <c:pt idx="678">
                  <c:v>934.48595495063489</c:v>
                </c:pt>
                <c:pt idx="679">
                  <c:v>933.72158591306004</c:v>
                </c:pt>
                <c:pt idx="680">
                  <c:v>932.95230317524806</c:v>
                </c:pt>
                <c:pt idx="681">
                  <c:v>932.17809457206192</c:v>
                </c:pt>
                <c:pt idx="682">
                  <c:v>931.39894781989096</c:v>
                </c:pt>
                <c:pt idx="683">
                  <c:v>930.61485051550733</c:v>
                </c:pt>
                <c:pt idx="684">
                  <c:v>929.82579013490476</c:v>
                </c:pt>
                <c:pt idx="685">
                  <c:v>929.03175403212128</c:v>
                </c:pt>
                <c:pt idx="686">
                  <c:v>928.23272943804341</c:v>
                </c:pt>
                <c:pt idx="687">
                  <c:v>927.42870345919312</c:v>
                </c:pt>
                <c:pt idx="688">
                  <c:v>926.61966307649652</c:v>
                </c:pt>
                <c:pt idx="689">
                  <c:v>925.80559514403456</c:v>
                </c:pt>
                <c:pt idx="690">
                  <c:v>924.98648638777422</c:v>
                </c:pt>
                <c:pt idx="691">
                  <c:v>924.16232340428166</c:v>
                </c:pt>
                <c:pt idx="692">
                  <c:v>923.33309265941512</c:v>
                </c:pt>
                <c:pt idx="693">
                  <c:v>922.49878048699884</c:v>
                </c:pt>
                <c:pt idx="694">
                  <c:v>921.65937308747641</c:v>
                </c:pt>
                <c:pt idx="695">
                  <c:v>920.81485652654408</c:v>
                </c:pt>
                <c:pt idx="696">
                  <c:v>919.96521673376321</c:v>
                </c:pt>
                <c:pt idx="697">
                  <c:v>919.11043950115152</c:v>
                </c:pt>
                <c:pt idx="698">
                  <c:v>918.25051048175305</c:v>
                </c:pt>
                <c:pt idx="699">
                  <c:v>917.38541518818579</c:v>
                </c:pt>
                <c:pt idx="700">
                  <c:v>916.51513899116799</c:v>
                </c:pt>
                <c:pt idx="701">
                  <c:v>915.63966711802084</c:v>
                </c:pt>
                <c:pt idx="702">
                  <c:v>914.75898465114847</c:v>
                </c:pt>
                <c:pt idx="703">
                  <c:v>913.87307652649451</c:v>
                </c:pt>
                <c:pt idx="704">
                  <c:v>912.98192753197475</c:v>
                </c:pt>
                <c:pt idx="705">
                  <c:v>912.08552230588555</c:v>
                </c:pt>
                <c:pt idx="706">
                  <c:v>911.18384533528683</c:v>
                </c:pt>
                <c:pt idx="707">
                  <c:v>910.2768809543611</c:v>
                </c:pt>
                <c:pt idx="708">
                  <c:v>909.36461334274497</c:v>
                </c:pt>
                <c:pt idx="709">
                  <c:v>908.44702652383648</c:v>
                </c:pt>
                <c:pt idx="710">
                  <c:v>907.52410436307423</c:v>
                </c:pt>
                <c:pt idx="711">
                  <c:v>906.5958305661901</c:v>
                </c:pt>
                <c:pt idx="712">
                  <c:v>905.66218867743396</c:v>
                </c:pt>
                <c:pt idx="713">
                  <c:v>904.72316207777067</c:v>
                </c:pt>
                <c:pt idx="714">
                  <c:v>903.77873398304746</c:v>
                </c:pt>
                <c:pt idx="715">
                  <c:v>902.82888744213324</c:v>
                </c:pt>
                <c:pt idx="716">
                  <c:v>901.87360533502692</c:v>
                </c:pt>
                <c:pt idx="717">
                  <c:v>900.91287037093662</c:v>
                </c:pt>
                <c:pt idx="718">
                  <c:v>899.94666508632611</c:v>
                </c:pt>
                <c:pt idx="719">
                  <c:v>898.97497184293184</c:v>
                </c:pt>
                <c:pt idx="720">
                  <c:v>897.99777282574598</c:v>
                </c:pt>
                <c:pt idx="721">
                  <c:v>897.01505004096782</c:v>
                </c:pt>
                <c:pt idx="722">
                  <c:v>896.02678531392132</c:v>
                </c:pt>
                <c:pt idx="723">
                  <c:v>895.03296028693831</c:v>
                </c:pt>
                <c:pt idx="724">
                  <c:v>894.03355641720736</c:v>
                </c:pt>
                <c:pt idx="725">
                  <c:v>893.02855497458756</c:v>
                </c:pt>
                <c:pt idx="726">
                  <c:v>892.01793703938483</c:v>
                </c:pt>
                <c:pt idx="727">
                  <c:v>891.00168350009301</c:v>
                </c:pt>
                <c:pt idx="728">
                  <c:v>889.97977505109634</c:v>
                </c:pt>
                <c:pt idx="729">
                  <c:v>888.95219219033368</c:v>
                </c:pt>
                <c:pt idx="730">
                  <c:v>887.91891521692457</c:v>
                </c:pt>
                <c:pt idx="731">
                  <c:v>886.87992422875379</c:v>
                </c:pt>
                <c:pt idx="732">
                  <c:v>885.83519912001691</c:v>
                </c:pt>
                <c:pt idx="733">
                  <c:v>884.7847195787233</c:v>
                </c:pt>
                <c:pt idx="734">
                  <c:v>883.72846508415694</c:v>
                </c:pt>
                <c:pt idx="735">
                  <c:v>882.66641490429436</c:v>
                </c:pt>
                <c:pt idx="736">
                  <c:v>881.59854809317824</c:v>
                </c:pt>
                <c:pt idx="737">
                  <c:v>880.52484348824589</c:v>
                </c:pt>
                <c:pt idx="738">
                  <c:v>879.44527970761203</c:v>
                </c:pt>
                <c:pt idx="739">
                  <c:v>878.35983514730458</c:v>
                </c:pt>
                <c:pt idx="740">
                  <c:v>877.2684879784523</c:v>
                </c:pt>
                <c:pt idx="741">
                  <c:v>876.17121614442465</c:v>
                </c:pt>
                <c:pt idx="742">
                  <c:v>875.06799735791958</c:v>
                </c:pt>
                <c:pt idx="743">
                  <c:v>873.95880909800314</c:v>
                </c:pt>
                <c:pt idx="744">
                  <c:v>872.84362860709473</c:v>
                </c:pt>
                <c:pt idx="745">
                  <c:v>871.72243288790037</c:v>
                </c:pt>
                <c:pt idx="746">
                  <c:v>870.59519870029146</c:v>
                </c:pt>
                <c:pt idx="747">
                  <c:v>869.46190255812814</c:v>
                </c:pt>
                <c:pt idx="748">
                  <c:v>868.32252072602614</c:v>
                </c:pt>
                <c:pt idx="749">
                  <c:v>867.17702921606497</c:v>
                </c:pt>
                <c:pt idx="750">
                  <c:v>866.02540378443859</c:v>
                </c:pt>
                <c:pt idx="751">
                  <c:v>864.86761992804429</c:v>
                </c:pt>
                <c:pt idx="752">
                  <c:v>863.70365288100993</c:v>
                </c:pt>
                <c:pt idx="753">
                  <c:v>862.53347761115913</c:v>
                </c:pt>
                <c:pt idx="754">
                  <c:v>861.35706881641136</c:v>
                </c:pt>
                <c:pt idx="755">
                  <c:v>860.17440092111553</c:v>
                </c:pt>
                <c:pt idx="756">
                  <c:v>858.98544807231747</c:v>
                </c:pt>
                <c:pt idx="757">
                  <c:v>857.79018413595759</c:v>
                </c:pt>
                <c:pt idx="758">
                  <c:v>856.58858269299856</c:v>
                </c:pt>
                <c:pt idx="759">
                  <c:v>855.3806170354809</c:v>
                </c:pt>
                <c:pt idx="760">
                  <c:v>854.16626016250484</c:v>
                </c:pt>
                <c:pt idx="761">
                  <c:v>852.94548477613739</c:v>
                </c:pt>
                <c:pt idx="762">
                  <c:v>851.71826327724125</c:v>
                </c:pt>
                <c:pt idx="763">
                  <c:v>850.48456776122634</c:v>
                </c:pt>
                <c:pt idx="764">
                  <c:v>849.24437001371996</c:v>
                </c:pt>
                <c:pt idx="765">
                  <c:v>847.9976415061542</c:v>
                </c:pt>
                <c:pt idx="766">
                  <c:v>846.74435339127001</c:v>
                </c:pt>
                <c:pt idx="767">
                  <c:v>845.48447649853392</c:v>
                </c:pt>
                <c:pt idx="768">
                  <c:v>844.21798132946685</c:v>
                </c:pt>
                <c:pt idx="769">
                  <c:v>842.94483805288235</c:v>
                </c:pt>
                <c:pt idx="770">
                  <c:v>841.66501650003249</c:v>
                </c:pt>
                <c:pt idx="771">
                  <c:v>840.37848615965891</c:v>
                </c:pt>
                <c:pt idx="772">
                  <c:v>839.08521617294628</c:v>
                </c:pt>
                <c:pt idx="773">
                  <c:v>837.78517532837736</c:v>
                </c:pt>
                <c:pt idx="774">
                  <c:v>836.47833205648544</c:v>
                </c:pt>
                <c:pt idx="775">
                  <c:v>835.16465442450328</c:v>
                </c:pt>
                <c:pt idx="776">
                  <c:v>833.84411013090448</c:v>
                </c:pt>
                <c:pt idx="777">
                  <c:v>832.51666649983656</c:v>
                </c:pt>
                <c:pt idx="778">
                  <c:v>831.18229047544082</c:v>
                </c:pt>
                <c:pt idx="779">
                  <c:v>829.84094861605854</c:v>
                </c:pt>
                <c:pt idx="780">
                  <c:v>828.49260708831912</c:v>
                </c:pt>
                <c:pt idx="781">
                  <c:v>827.13723166110708</c:v>
                </c:pt>
                <c:pt idx="782">
                  <c:v>825.7747876994066</c:v>
                </c:pt>
                <c:pt idx="783">
                  <c:v>824.40524015801839</c:v>
                </c:pt>
                <c:pt idx="784">
                  <c:v>823.02855357514784</c:v>
                </c:pt>
                <c:pt idx="785">
                  <c:v>821.64469206585886</c:v>
                </c:pt>
                <c:pt idx="786">
                  <c:v>820.25361931539203</c:v>
                </c:pt>
                <c:pt idx="787">
                  <c:v>818.85529857234235</c:v>
                </c:pt>
                <c:pt idx="788">
                  <c:v>817.44969264169401</c:v>
                </c:pt>
                <c:pt idx="789">
                  <c:v>816.03676387770668</c:v>
                </c:pt>
                <c:pt idx="790">
                  <c:v>814.61647417665199</c:v>
                </c:pt>
                <c:pt idx="791">
                  <c:v>813.18878496939442</c:v>
                </c:pt>
                <c:pt idx="792">
                  <c:v>811.75365721381263</c:v>
                </c:pt>
                <c:pt idx="793">
                  <c:v>810.31105138705846</c:v>
                </c:pt>
                <c:pt idx="794">
                  <c:v>808.86092747764746</c:v>
                </c:pt>
                <c:pt idx="795">
                  <c:v>807.40324497737811</c:v>
                </c:pt>
                <c:pt idx="796">
                  <c:v>805.93796287307373</c:v>
                </c:pt>
                <c:pt idx="797">
                  <c:v>804.46503963814359</c:v>
                </c:pt>
                <c:pt idx="798">
                  <c:v>802.98443322395735</c:v>
                </c:pt>
                <c:pt idx="799">
                  <c:v>801.49610105102818</c:v>
                </c:pt>
                <c:pt idx="800">
                  <c:v>800</c:v>
                </c:pt>
                <c:pt idx="801">
                  <c:v>798.49608640243196</c:v>
                </c:pt>
                <c:pt idx="802">
                  <c:v>796.9843160313759</c:v>
                </c:pt>
                <c:pt idx="803">
                  <c:v>795.46464409174087</c:v>
                </c:pt>
                <c:pt idx="804">
                  <c:v>793.93702521043826</c:v>
                </c:pt>
                <c:pt idx="805">
                  <c:v>792.40141342630125</c:v>
                </c:pt>
                <c:pt idx="806">
                  <c:v>790.857762179774</c:v>
                </c:pt>
                <c:pt idx="807">
                  <c:v>789.30602430236149</c:v>
                </c:pt>
                <c:pt idx="808">
                  <c:v>787.74615200583492</c:v>
                </c:pt>
                <c:pt idx="809">
                  <c:v>786.17809687118609</c:v>
                </c:pt>
                <c:pt idx="810">
                  <c:v>784.60180983732118</c:v>
                </c:pt>
                <c:pt idx="811">
                  <c:v>783.01724118949005</c:v>
                </c:pt>
                <c:pt idx="812">
                  <c:v>781.4243405474391</c:v>
                </c:pt>
                <c:pt idx="813">
                  <c:v>779.8230568532839</c:v>
                </c:pt>
                <c:pt idx="814">
                  <c:v>778.21333835909036</c:v>
                </c:pt>
                <c:pt idx="815">
                  <c:v>776.59513261415691</c:v>
                </c:pt>
                <c:pt idx="816">
                  <c:v>774.96838645198943</c:v>
                </c:pt>
                <c:pt idx="817">
                  <c:v>773.33304597695815</c:v>
                </c:pt>
                <c:pt idx="818">
                  <c:v>771.68905655062906</c:v>
                </c:pt>
                <c:pt idx="819">
                  <c:v>770.03636277775865</c:v>
                </c:pt>
                <c:pt idx="820">
                  <c:v>768.37490849194182</c:v>
                </c:pt>
                <c:pt idx="821">
                  <c:v>766.70463674090297</c:v>
                </c:pt>
                <c:pt idx="822">
                  <c:v>765.0254897714193</c:v>
                </c:pt>
                <c:pt idx="823">
                  <c:v>763.33740901386454</c:v>
                </c:pt>
                <c:pt idx="824">
                  <c:v>761.6403350663619</c:v>
                </c:pt>
                <c:pt idx="825">
                  <c:v>759.9342076785332</c:v>
                </c:pt>
                <c:pt idx="826">
                  <c:v>758.21896573483309</c:v>
                </c:pt>
                <c:pt idx="827">
                  <c:v>756.49454723745362</c:v>
                </c:pt>
                <c:pt idx="828">
                  <c:v>754.76088928878664</c:v>
                </c:pt>
                <c:pt idx="829">
                  <c:v>753.01792807342906</c:v>
                </c:pt>
                <c:pt idx="830">
                  <c:v>751.26559883971788</c:v>
                </c:pt>
                <c:pt idx="831">
                  <c:v>749.50383588077784</c:v>
                </c:pt>
                <c:pt idx="832">
                  <c:v>747.73257251506709</c:v>
                </c:pt>
                <c:pt idx="833">
                  <c:v>745.95174106640434</c:v>
                </c:pt>
                <c:pt idx="834">
                  <c:v>744.16127284346101</c:v>
                </c:pt>
                <c:pt idx="835">
                  <c:v>742.36109811869858</c:v>
                </c:pt>
                <c:pt idx="836">
                  <c:v>740.55114610673581</c:v>
                </c:pt>
                <c:pt idx="837">
                  <c:v>738.73134494212445</c:v>
                </c:pt>
                <c:pt idx="838">
                  <c:v>736.90162165651395</c:v>
                </c:pt>
                <c:pt idx="839">
                  <c:v>735.06190215518586</c:v>
                </c:pt>
                <c:pt idx="840">
                  <c:v>733.21211119293434</c:v>
                </c:pt>
                <c:pt idx="841">
                  <c:v>731.35217234927256</c:v>
                </c:pt>
                <c:pt idx="842">
                  <c:v>729.48200800293898</c:v>
                </c:pt>
                <c:pt idx="843">
                  <c:v>727.60153930568345</c:v>
                </c:pt>
                <c:pt idx="844">
                  <c:v>725.71068615530248</c:v>
                </c:pt>
                <c:pt idx="845">
                  <c:v>723.80936716790291</c:v>
                </c:pt>
                <c:pt idx="846">
                  <c:v>721.89749964936163</c:v>
                </c:pt>
                <c:pt idx="847">
                  <c:v>719.97499956595721</c:v>
                </c:pt>
                <c:pt idx="848">
                  <c:v>718.04178151413998</c:v>
                </c:pt>
                <c:pt idx="849">
                  <c:v>716.09775868941244</c:v>
                </c:pt>
                <c:pt idx="850">
                  <c:v>714.14284285428505</c:v>
                </c:pt>
                <c:pt idx="851">
                  <c:v>712.17694430527581</c:v>
                </c:pt>
                <c:pt idx="852">
                  <c:v>710.19997183891803</c:v>
                </c:pt>
                <c:pt idx="853">
                  <c:v>708.21183271673738</c:v>
                </c:pt>
                <c:pt idx="854">
                  <c:v>706.21243262916289</c:v>
                </c:pt>
                <c:pt idx="855">
                  <c:v>704.20167565833015</c:v>
                </c:pt>
                <c:pt idx="856">
                  <c:v>702.1794642397341</c:v>
                </c:pt>
                <c:pt idx="857">
                  <c:v>700.14569912268973</c:v>
                </c:pt>
                <c:pt idx="858">
                  <c:v>698.10027932955302</c:v>
                </c:pt>
                <c:pt idx="859">
                  <c:v>696.04310211365498</c:v>
                </c:pt>
                <c:pt idx="860">
                  <c:v>693.97406291589891</c:v>
                </c:pt>
                <c:pt idx="861">
                  <c:v>691.89305531996774</c:v>
                </c:pt>
                <c:pt idx="862">
                  <c:v>689.79997100608807</c:v>
                </c:pt>
                <c:pt idx="863">
                  <c:v>687.69469970329135</c:v>
                </c:pt>
                <c:pt idx="864">
                  <c:v>685.57712914011358</c:v>
                </c:pt>
                <c:pt idx="865">
                  <c:v>683.44714499367103</c:v>
                </c:pt>
                <c:pt idx="866">
                  <c:v>681.30463083704342</c:v>
                </c:pt>
                <c:pt idx="867">
                  <c:v>679.1494680848981</c:v>
                </c:pt>
                <c:pt idx="868">
                  <c:v>676.98153593728091</c:v>
                </c:pt>
                <c:pt idx="869">
                  <c:v>674.80071132149828</c:v>
                </c:pt>
                <c:pt idx="870">
                  <c:v>672.60686883200947</c:v>
                </c:pt>
                <c:pt idx="871">
                  <c:v>670.39988066824719</c:v>
                </c:pt>
                <c:pt idx="872">
                  <c:v>668.17961657027524</c:v>
                </c:pt>
                <c:pt idx="873">
                  <c:v>665.94594375219378</c:v>
                </c:pt>
                <c:pt idx="874">
                  <c:v>663.69872683319204</c:v>
                </c:pt>
                <c:pt idx="875">
                  <c:v>661.43782776614762</c:v>
                </c:pt>
                <c:pt idx="876">
                  <c:v>659.16310576366459</c:v>
                </c:pt>
                <c:pt idx="877">
                  <c:v>656.87441722143512</c:v>
                </c:pt>
                <c:pt idx="878">
                  <c:v>654.57161563880845</c:v>
                </c:pt>
                <c:pt idx="879">
                  <c:v>652.25455153643816</c:v>
                </c:pt>
                <c:pt idx="880">
                  <c:v>649.92307237087687</c:v>
                </c:pt>
                <c:pt idx="881">
                  <c:v>647.57702244597897</c:v>
                </c:pt>
                <c:pt idx="882">
                  <c:v>645.21624282096309</c:v>
                </c:pt>
                <c:pt idx="883">
                  <c:v>642.84057121497858</c:v>
                </c:pt>
                <c:pt idx="884">
                  <c:v>640.44984190801392</c:v>
                </c:pt>
                <c:pt idx="885">
                  <c:v>638.04388563797079</c:v>
                </c:pt>
                <c:pt idx="886">
                  <c:v>635.62252949372396</c:v>
                </c:pt>
                <c:pt idx="887">
                  <c:v>633.18559680397027</c:v>
                </c:pt>
                <c:pt idx="888">
                  <c:v>630.7329070216648</c:v>
                </c:pt>
                <c:pt idx="889">
                  <c:v>628.26427560382581</c:v>
                </c:pt>
                <c:pt idx="890">
                  <c:v>625.77951388648057</c:v>
                </c:pt>
                <c:pt idx="891">
                  <c:v>623.27842895450829</c:v>
                </c:pt>
                <c:pt idx="892">
                  <c:v>620.76082350612296</c:v>
                </c:pt>
                <c:pt idx="893">
                  <c:v>618.22649571172542</c:v>
                </c:pt>
                <c:pt idx="894">
                  <c:v>615.67523906683141</c:v>
                </c:pt>
                <c:pt idx="895">
                  <c:v>613.10684223877331</c:v>
                </c:pt>
                <c:pt idx="896">
                  <c:v>610.52108890684519</c:v>
                </c:pt>
                <c:pt idx="897">
                  <c:v>607.91775759554844</c:v>
                </c:pt>
                <c:pt idx="898">
                  <c:v>605.2966215005664</c:v>
                </c:pt>
                <c:pt idx="899">
                  <c:v>602.65744830707933</c:v>
                </c:pt>
                <c:pt idx="900">
                  <c:v>600</c:v>
                </c:pt>
                <c:pt idx="901">
                  <c:v>597.32403266568804</c:v>
                </c:pt>
                <c:pt idx="902">
                  <c:v>594.62929628466838</c:v>
                </c:pt>
                <c:pt idx="903">
                  <c:v>591.91553451484947</c:v>
                </c:pt>
                <c:pt idx="904">
                  <c:v>589.18248446470295</c:v>
                </c:pt>
                <c:pt idx="905">
                  <c:v>586.42987645582991</c:v>
                </c:pt>
                <c:pt idx="906">
                  <c:v>583.65743377429885</c:v>
                </c:pt>
                <c:pt idx="907">
                  <c:v>580.86487241009854</c:v>
                </c:pt>
                <c:pt idx="908">
                  <c:v>578.05190078400403</c:v>
                </c:pt>
                <c:pt idx="909">
                  <c:v>575.21821946110151</c:v>
                </c:pt>
                <c:pt idx="910">
                  <c:v>572.36352085016733</c:v>
                </c:pt>
                <c:pt idx="911">
                  <c:v>569.48748888803516</c:v>
                </c:pt>
                <c:pt idx="912">
                  <c:v>566.58979870802477</c:v>
                </c:pt>
                <c:pt idx="913">
                  <c:v>563.67011629143508</c:v>
                </c:pt>
                <c:pt idx="914">
                  <c:v>560.72809810103149</c:v>
                </c:pt>
                <c:pt idx="915">
                  <c:v>557.76339069537357</c:v>
                </c:pt>
                <c:pt idx="916">
                  <c:v>554.77563032274588</c:v>
                </c:pt>
                <c:pt idx="917">
                  <c:v>551.76444249335236</c:v>
                </c:pt>
                <c:pt idx="918">
                  <c:v>548.72944152833645</c:v>
                </c:pt>
                <c:pt idx="919">
                  <c:v>545.67023008406829</c:v>
                </c:pt>
                <c:pt idx="920">
                  <c:v>542.58639865002147</c:v>
                </c:pt>
                <c:pt idx="921">
                  <c:v>539.47752501842001</c:v>
                </c:pt>
                <c:pt idx="922">
                  <c:v>536.34317372368969</c:v>
                </c:pt>
                <c:pt idx="923">
                  <c:v>533.18289544958213</c:v>
                </c:pt>
                <c:pt idx="924">
                  <c:v>529.99622640166035</c:v>
                </c:pt>
                <c:pt idx="925">
                  <c:v>526.78268764263692</c:v>
                </c:pt>
                <c:pt idx="926">
                  <c:v>523.54178438783663</c:v>
                </c:pt>
                <c:pt idx="927">
                  <c:v>520.27300525781652</c:v>
                </c:pt>
                <c:pt idx="928">
                  <c:v>516.97582148491233</c:v>
                </c:pt>
                <c:pt idx="929">
                  <c:v>513.64968607018534</c:v>
                </c:pt>
                <c:pt idx="930">
                  <c:v>510.29403288692293</c:v>
                </c:pt>
                <c:pt idx="931">
                  <c:v>506.90827572648681</c:v>
                </c:pt>
                <c:pt idx="932">
                  <c:v>503.49180728190601</c:v>
                </c:pt>
                <c:pt idx="933">
                  <c:v>500.04399806417035</c:v>
                </c:pt>
                <c:pt idx="934">
                  <c:v>496.56419524569026</c:v>
                </c:pt>
                <c:pt idx="935">
                  <c:v>493.05172142484201</c:v>
                </c:pt>
                <c:pt idx="936">
                  <c:v>489.50587330490737</c:v>
                </c:pt>
                <c:pt idx="937">
                  <c:v>485.92592028003611</c:v>
                </c:pt>
                <c:pt idx="938">
                  <c:v>482.31110292009657</c:v>
                </c:pt>
                <c:pt idx="939">
                  <c:v>478.66063134542412</c:v>
                </c:pt>
                <c:pt idx="940">
                  <c:v>474.97368348151667</c:v>
                </c:pt>
                <c:pt idx="941">
                  <c:v>471.24940318264595</c:v>
                </c:pt>
                <c:pt idx="942">
                  <c:v>467.48689821213173</c:v>
                </c:pt>
                <c:pt idx="943">
                  <c:v>463.68523806565162</c:v>
                </c:pt>
                <c:pt idx="944">
                  <c:v>459.84345162239725</c:v>
                </c:pt>
                <c:pt idx="945">
                  <c:v>455.96052460711991</c:v>
                </c:pt>
                <c:pt idx="946">
                  <c:v>452.03539684409674</c:v>
                </c:pt>
                <c:pt idx="947">
                  <c:v>448.06695928175736</c:v>
                </c:pt>
                <c:pt idx="948">
                  <c:v>444.05405076409335</c:v>
                </c:pt>
                <c:pt idx="949">
                  <c:v>439.99545452197572</c:v>
                </c:pt>
                <c:pt idx="950">
                  <c:v>435.88989435406734</c:v>
                </c:pt>
                <c:pt idx="951">
                  <c:v>431.73603046305971</c:v>
                </c:pt>
                <c:pt idx="952">
                  <c:v>427.5324549083964</c:v>
                </c:pt>
                <c:pt idx="953">
                  <c:v>423.27768663136499</c:v>
                </c:pt>
                <c:pt idx="954">
                  <c:v>418.9701660023062</c:v>
                </c:pt>
                <c:pt idx="955">
                  <c:v>414.60824883255759</c:v>
                </c:pt>
                <c:pt idx="956">
                  <c:v>410.19019978541661</c:v>
                </c:pt>
                <c:pt idx="957">
                  <c:v>405.7141851106515</c:v>
                </c:pt>
                <c:pt idx="958">
                  <c:v>401.17826461561947</c:v>
                </c:pt>
                <c:pt idx="959">
                  <c:v>396.58038277252194</c:v>
                </c:pt>
                <c:pt idx="960">
                  <c:v>391.91835884530849</c:v>
                </c:pt>
                <c:pt idx="961">
                  <c:v>387.18987590070071</c:v>
                </c:pt>
                <c:pt idx="962">
                  <c:v>382.39246854508002</c:v>
                </c:pt>
                <c:pt idx="963">
                  <c:v>377.52350920174496</c:v>
                </c:pt>
                <c:pt idx="964">
                  <c:v>372.58019271024057</c:v>
                </c:pt>
                <c:pt idx="965">
                  <c:v>367.55951898978213</c:v>
                </c:pt>
                <c:pt idx="966">
                  <c:v>362.45827346054608</c:v>
                </c:pt>
                <c:pt idx="967">
                  <c:v>357.27300485762987</c:v>
                </c:pt>
                <c:pt idx="968">
                  <c:v>352</c:v>
                </c:pt>
                <c:pt idx="969">
                  <c:v>346.63525498714063</c:v>
                </c:pt>
                <c:pt idx="970">
                  <c:v>341.17444218463959</c:v>
                </c:pt>
                <c:pt idx="971">
                  <c:v>335.61287222036049</c:v>
                </c:pt>
                <c:pt idx="972">
                  <c:v>329.94545003682049</c:v>
                </c:pt>
                <c:pt idx="973">
                  <c:v>324.16662382176236</c:v>
                </c:pt>
                <c:pt idx="974">
                  <c:v>318.2703253525217</c:v>
                </c:pt>
                <c:pt idx="975">
                  <c:v>312.24989991991993</c:v>
                </c:pt>
                <c:pt idx="976">
                  <c:v>306.09802351534387</c:v>
                </c:pt>
                <c:pt idx="977">
                  <c:v>299.80660433019148</c:v>
                </c:pt>
                <c:pt idx="978">
                  <c:v>293.36666477294244</c:v>
                </c:pt>
                <c:pt idx="979">
                  <c:v>286.76819907374664</c:v>
                </c:pt>
                <c:pt idx="980">
                  <c:v>280</c:v>
                </c:pt>
                <c:pt idx="981">
                  <c:v>273.04944607158609</c:v>
                </c:pt>
                <c:pt idx="982">
                  <c:v>265.90223767392405</c:v>
                </c:pt>
                <c:pt idx="983">
                  <c:v>258.54206620973696</c:v>
                </c:pt>
                <c:pt idx="984">
                  <c:v>250.95019426172996</c:v>
                </c:pt>
                <c:pt idx="985">
                  <c:v>243.10491562286435</c:v>
                </c:pt>
                <c:pt idx="986">
                  <c:v>234.98085028359225</c:v>
                </c:pt>
                <c:pt idx="987">
                  <c:v>226.54800815721157</c:v>
                </c:pt>
                <c:pt idx="988">
                  <c:v>217.77052142105919</c:v>
                </c:pt>
                <c:pt idx="989">
                  <c:v>208.60488968382307</c:v>
                </c:pt>
                <c:pt idx="990">
                  <c:v>198.997487421324</c:v>
                </c:pt>
                <c:pt idx="991">
                  <c:v>188.88091486436633</c:v>
                </c:pt>
                <c:pt idx="992">
                  <c:v>178.16845961056069</c:v>
                </c:pt>
                <c:pt idx="993">
                  <c:v>166.74531477675768</c:v>
                </c:pt>
                <c:pt idx="994">
                  <c:v>154.45387661046257</c:v>
                </c:pt>
                <c:pt idx="995">
                  <c:v>141.06735979665885</c:v>
                </c:pt>
                <c:pt idx="996">
                  <c:v>126.23787070447599</c:v>
                </c:pt>
                <c:pt idx="997">
                  <c:v>109.38007131100254</c:v>
                </c:pt>
                <c:pt idx="998">
                  <c:v>89.353231614754705</c:v>
                </c:pt>
                <c:pt idx="999">
                  <c:v>63.21392251711643</c:v>
                </c:pt>
              </c:numCache>
            </c:numRef>
          </c:xVal>
          <c:yVal>
            <c:numRef>
              <c:f>Profil!$B$3:$B$1002</c:f>
              <c:numCache>
                <c:formatCode>General</c:formatCode>
                <c:ptCount val="10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</c:numCache>
            </c:numRef>
          </c:yVal>
          <c:smooth val="0"/>
        </c:ser>
        <c:ser>
          <c:idx val="2"/>
          <c:order val="4"/>
          <c:tx>
            <c:v>Hladina</c:v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Profil!$AA$3:$AA$5</c:f>
              <c:numCache>
                <c:formatCode>General</c:formatCode>
                <c:ptCount val="3"/>
                <c:pt idx="0">
                  <c:v>-455.96052460711991</c:v>
                </c:pt>
                <c:pt idx="1">
                  <c:v>0</c:v>
                </c:pt>
                <c:pt idx="2">
                  <c:v>455.96052460711991</c:v>
                </c:pt>
              </c:numCache>
            </c:numRef>
          </c:xVal>
          <c:yVal>
            <c:numRef>
              <c:f>Profil!$AB$3:$AB$5</c:f>
              <c:numCache>
                <c:formatCode>#,##0</c:formatCode>
                <c:ptCount val="3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33024"/>
        <c:axId val="196434560"/>
      </c:scatterChart>
      <c:valAx>
        <c:axId val="19643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434560"/>
        <c:crosses val="autoZero"/>
        <c:crossBetween val="midCat"/>
      </c:valAx>
      <c:valAx>
        <c:axId val="19643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43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76199</xdr:colOff>
      <xdr:row>0</xdr:row>
      <xdr:rowOff>142874</xdr:rowOff>
    </xdr:from>
    <xdr:to>
      <xdr:col>25</xdr:col>
      <xdr:colOff>361949</xdr:colOff>
      <xdr:row>33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5</xdr:row>
          <xdr:rowOff>85725</xdr:rowOff>
        </xdr:from>
        <xdr:to>
          <xdr:col>4</xdr:col>
          <xdr:colOff>266700</xdr:colOff>
          <xdr:row>6</xdr:row>
          <xdr:rowOff>123825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Zvolit profil do nepravidelného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361949</xdr:colOff>
      <xdr:row>0</xdr:row>
      <xdr:rowOff>157162</xdr:rowOff>
    </xdr:from>
    <xdr:to>
      <xdr:col>24</xdr:col>
      <xdr:colOff>114299</xdr:colOff>
      <xdr:row>37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B1003"/>
  <sheetViews>
    <sheetView tabSelected="1" workbookViewId="0"/>
  </sheetViews>
  <sheetFormatPr defaultRowHeight="15" x14ac:dyDescent="0.25"/>
  <cols>
    <col min="2" max="2" width="14.5703125" customWidth="1"/>
    <col min="4" max="4" width="10.28515625" style="9" customWidth="1"/>
    <col min="7" max="7" width="4" style="2" customWidth="1"/>
    <col min="8" max="8" width="8.85546875" style="2" customWidth="1"/>
    <col min="9" max="9" width="9.140625" style="2" customWidth="1"/>
    <col min="10" max="10" width="6.28515625" style="2" customWidth="1"/>
    <col min="11" max="11" width="8.7109375" style="11" customWidth="1"/>
    <col min="12" max="12" width="8.85546875" style="2" customWidth="1"/>
    <col min="13" max="14" width="9.140625" style="2"/>
  </cols>
  <sheetData>
    <row r="1" spans="2:28" x14ac:dyDescent="0.25">
      <c r="C1" s="8" t="s">
        <v>24</v>
      </c>
      <c r="D1" s="9" t="s">
        <v>16</v>
      </c>
      <c r="E1" s="8" t="s">
        <v>17</v>
      </c>
      <c r="G1"/>
      <c r="H1"/>
      <c r="I1"/>
      <c r="J1"/>
      <c r="K1"/>
      <c r="L1"/>
      <c r="M1"/>
      <c r="N1"/>
      <c r="AA1" s="13" t="s">
        <v>34</v>
      </c>
      <c r="AB1" s="2"/>
    </row>
    <row r="2" spans="2:28" x14ac:dyDescent="0.25">
      <c r="B2" t="s">
        <v>11</v>
      </c>
      <c r="C2" t="s">
        <v>12</v>
      </c>
      <c r="D2" s="10">
        <v>2000</v>
      </c>
      <c r="E2" t="str">
        <f>$E$1</f>
        <v>mm</v>
      </c>
      <c r="G2" s="2" t="s">
        <v>14</v>
      </c>
      <c r="H2" s="2" t="s">
        <v>1</v>
      </c>
      <c r="I2" s="2" t="s">
        <v>2</v>
      </c>
      <c r="J2" s="2" t="s">
        <v>13</v>
      </c>
      <c r="K2" s="11" t="s">
        <v>31</v>
      </c>
      <c r="L2" s="2" t="s">
        <v>38</v>
      </c>
      <c r="M2" s="2" t="s">
        <v>39</v>
      </c>
      <c r="N2" s="2" t="s">
        <v>35</v>
      </c>
      <c r="AA2" s="2" t="s">
        <v>32</v>
      </c>
      <c r="AB2" s="2" t="s">
        <v>13</v>
      </c>
    </row>
    <row r="3" spans="2:28" x14ac:dyDescent="0.25">
      <c r="C3" s="12" t="s">
        <v>37</v>
      </c>
      <c r="D3" s="10">
        <v>1000</v>
      </c>
      <c r="E3" t="s">
        <v>32</v>
      </c>
      <c r="G3" s="2">
        <v>0</v>
      </c>
      <c r="H3" s="2">
        <f t="shared" ref="H3:H66" si="0">IF(G3&lt;POC_BOD,-1*$K3/2,IF(G3=POC_BOD,0,NA()))</f>
        <v>0</v>
      </c>
      <c r="I3" s="2">
        <f t="shared" ref="I3:I66" si="1">IF(G3&lt;=POC_BOD,$K3/2,IF(G3=POC_BOD,0,NA()))</f>
        <v>0</v>
      </c>
      <c r="J3" s="2">
        <f t="shared" ref="J3:J66" si="2">IF(G3&lt;=POC_BOD,DN_KRUH/POC_BOD*G3,"")</f>
        <v>0</v>
      </c>
      <c r="K3" s="11">
        <f t="shared" ref="K3:K66" si="3">IF(G3&lt;POC_BOD,2*POWER(POWER(R_KRUH,2)-POWER(ABS(J3-DN_KRUH/2),2),0.5),IF(G3=POC_BOD,0,""))</f>
        <v>0</v>
      </c>
      <c r="L3" s="2">
        <f t="shared" ref="L3:L66" si="4">IF(G3&lt;=POC_BOD,ABS(J3-DN_KRUH/2),IF(G3=POC_BOD,0,""))</f>
        <v>1000</v>
      </c>
      <c r="M3" s="2">
        <f>IF(G3&lt;=POC_BOD,(K3+K3)/2*J3,"")</f>
        <v>0</v>
      </c>
      <c r="N3" s="2">
        <f>IF(G3&lt;=POC_BOD,((K3+K3)/2*J3),"")</f>
        <v>0</v>
      </c>
      <c r="AA3" s="2">
        <f>-1*DN_KRUH/2</f>
        <v>-1000</v>
      </c>
      <c r="AB3" s="7">
        <f>$D$9</f>
        <v>30</v>
      </c>
    </row>
    <row r="4" spans="2:28" x14ac:dyDescent="0.25">
      <c r="C4" t="s">
        <v>15</v>
      </c>
      <c r="D4" s="7">
        <f>DN_KRUH/2</f>
        <v>1000</v>
      </c>
      <c r="E4" t="str">
        <f>$E$1</f>
        <v>mm</v>
      </c>
      <c r="G4" s="2">
        <v>1</v>
      </c>
      <c r="H4" s="2">
        <f t="shared" si="0"/>
        <v>-63.21392251711643</v>
      </c>
      <c r="I4" s="2">
        <f t="shared" si="1"/>
        <v>63.21392251711643</v>
      </c>
      <c r="J4" s="2">
        <f t="shared" si="2"/>
        <v>2</v>
      </c>
      <c r="K4" s="11">
        <f t="shared" si="3"/>
        <v>126.42784503423286</v>
      </c>
      <c r="L4" s="2">
        <f t="shared" si="4"/>
        <v>998</v>
      </c>
      <c r="M4" s="2">
        <f t="shared" ref="M4:M67" si="5">IF(G3&lt;=POC_BOD,(K3+K4)/2*(J4-J3),"")</f>
        <v>126.42784503423286</v>
      </c>
      <c r="N4" s="2">
        <f t="shared" ref="N4:N67" si="6">IF(G3&lt;=POC_BOD,((K3+K4)/2*(J4-J3))+N3,"")</f>
        <v>126.42784503423286</v>
      </c>
      <c r="AA4" s="2">
        <v>0</v>
      </c>
      <c r="AB4" s="7">
        <f t="shared" ref="AB4:AB5" si="7">$D$9</f>
        <v>30</v>
      </c>
    </row>
    <row r="5" spans="2:28" x14ac:dyDescent="0.25">
      <c r="B5" t="s">
        <v>23</v>
      </c>
      <c r="C5" t="s">
        <v>22</v>
      </c>
      <c r="D5" s="7">
        <f>PI()*POWER(R_KRUH,2)</f>
        <v>3141592.653589793</v>
      </c>
      <c r="E5" t="str">
        <f>$E$1&amp;"^2"</f>
        <v>mm^2</v>
      </c>
      <c r="G5" s="2">
        <v>2</v>
      </c>
      <c r="H5" s="2">
        <f t="shared" si="0"/>
        <v>-89.353231614754705</v>
      </c>
      <c r="I5" s="2">
        <f t="shared" si="1"/>
        <v>89.353231614754705</v>
      </c>
      <c r="J5" s="2">
        <f t="shared" si="2"/>
        <v>4</v>
      </c>
      <c r="K5" s="11">
        <f t="shared" si="3"/>
        <v>178.70646322950941</v>
      </c>
      <c r="L5" s="2">
        <f t="shared" si="4"/>
        <v>996</v>
      </c>
      <c r="M5" s="2">
        <f t="shared" si="5"/>
        <v>305.13430826374224</v>
      </c>
      <c r="N5" s="2">
        <f t="shared" si="6"/>
        <v>431.5621532979751</v>
      </c>
      <c r="AA5" s="2">
        <f>DN_KRUH/2</f>
        <v>1000</v>
      </c>
      <c r="AB5" s="7">
        <f t="shared" si="7"/>
        <v>30</v>
      </c>
    </row>
    <row r="6" spans="2:28" x14ac:dyDescent="0.25">
      <c r="G6" s="2">
        <v>3</v>
      </c>
      <c r="H6" s="2">
        <f t="shared" si="0"/>
        <v>-109.38007131100254</v>
      </c>
      <c r="I6" s="2">
        <f t="shared" si="1"/>
        <v>109.38007131100254</v>
      </c>
      <c r="J6" s="2">
        <f t="shared" si="2"/>
        <v>6</v>
      </c>
      <c r="K6" s="11">
        <f t="shared" si="3"/>
        <v>218.76014262200508</v>
      </c>
      <c r="L6" s="2">
        <f t="shared" si="4"/>
        <v>994</v>
      </c>
      <c r="M6" s="2">
        <f t="shared" si="5"/>
        <v>397.46660585151449</v>
      </c>
      <c r="N6" s="2">
        <f t="shared" si="6"/>
        <v>829.02875914948959</v>
      </c>
    </row>
    <row r="7" spans="2:28" x14ac:dyDescent="0.25">
      <c r="G7" s="2">
        <v>4</v>
      </c>
      <c r="H7" s="2">
        <f t="shared" si="0"/>
        <v>-126.23787070447599</v>
      </c>
      <c r="I7" s="2">
        <f t="shared" si="1"/>
        <v>126.23787070447599</v>
      </c>
      <c r="J7" s="2">
        <f t="shared" si="2"/>
        <v>8</v>
      </c>
      <c r="K7" s="11">
        <f t="shared" si="3"/>
        <v>252.47574140895199</v>
      </c>
      <c r="L7" s="2">
        <f t="shared" si="4"/>
        <v>992</v>
      </c>
      <c r="M7" s="2">
        <f t="shared" si="5"/>
        <v>471.2358840309571</v>
      </c>
      <c r="N7" s="2">
        <f t="shared" si="6"/>
        <v>1300.2646431804467</v>
      </c>
    </row>
    <row r="8" spans="2:28" x14ac:dyDescent="0.25">
      <c r="B8" t="s">
        <v>50</v>
      </c>
      <c r="G8" s="2">
        <v>5</v>
      </c>
      <c r="H8" s="2">
        <f t="shared" si="0"/>
        <v>-141.06735979665885</v>
      </c>
      <c r="I8" s="2">
        <f t="shared" si="1"/>
        <v>141.06735979665885</v>
      </c>
      <c r="J8" s="2">
        <f t="shared" si="2"/>
        <v>10</v>
      </c>
      <c r="K8" s="11">
        <f t="shared" si="3"/>
        <v>282.1347195933177</v>
      </c>
      <c r="L8" s="2">
        <f t="shared" si="4"/>
        <v>990</v>
      </c>
      <c r="M8" s="2">
        <f t="shared" si="5"/>
        <v>534.61046100226963</v>
      </c>
      <c r="N8" s="2">
        <f t="shared" si="6"/>
        <v>1834.8751041827163</v>
      </c>
    </row>
    <row r="9" spans="2:28" x14ac:dyDescent="0.25">
      <c r="C9" t="s">
        <v>18</v>
      </c>
      <c r="D9" s="10">
        <v>30</v>
      </c>
      <c r="E9" t="str">
        <f>$E$1</f>
        <v>mm</v>
      </c>
      <c r="G9" s="2">
        <v>6</v>
      </c>
      <c r="H9" s="2">
        <f t="shared" si="0"/>
        <v>-154.45387661046257</v>
      </c>
      <c r="I9" s="2">
        <f t="shared" si="1"/>
        <v>154.45387661046257</v>
      </c>
      <c r="J9" s="2">
        <f t="shared" si="2"/>
        <v>12</v>
      </c>
      <c r="K9" s="11">
        <f t="shared" si="3"/>
        <v>308.90775322092514</v>
      </c>
      <c r="L9" s="2">
        <f t="shared" si="4"/>
        <v>988</v>
      </c>
      <c r="M9" s="2">
        <f t="shared" si="5"/>
        <v>591.04247281424284</v>
      </c>
      <c r="N9" s="2">
        <f t="shared" si="6"/>
        <v>2425.9175769969593</v>
      </c>
    </row>
    <row r="10" spans="2:28" x14ac:dyDescent="0.25">
      <c r="B10" t="s">
        <v>19</v>
      </c>
      <c r="C10" t="s">
        <v>20</v>
      </c>
      <c r="D10" s="7">
        <f>LOOKUP(D9,J:J,K:K)</f>
        <v>486.20983124572871</v>
      </c>
      <c r="E10" t="str">
        <f>$E$1</f>
        <v>mm</v>
      </c>
      <c r="G10" s="2">
        <v>7</v>
      </c>
      <c r="H10" s="2">
        <f t="shared" si="0"/>
        <v>-166.74531477675768</v>
      </c>
      <c r="I10" s="2">
        <f t="shared" si="1"/>
        <v>166.74531477675768</v>
      </c>
      <c r="J10" s="2">
        <f t="shared" si="2"/>
        <v>14</v>
      </c>
      <c r="K10" s="11">
        <f t="shared" si="3"/>
        <v>333.49062955351536</v>
      </c>
      <c r="L10" s="2">
        <f t="shared" si="4"/>
        <v>986</v>
      </c>
      <c r="M10" s="2">
        <f t="shared" si="5"/>
        <v>642.39838277444051</v>
      </c>
      <c r="N10" s="2">
        <f t="shared" si="6"/>
        <v>3068.3159597713998</v>
      </c>
    </row>
    <row r="11" spans="2:28" x14ac:dyDescent="0.25">
      <c r="G11" s="2">
        <v>8</v>
      </c>
      <c r="H11" s="2">
        <f t="shared" si="0"/>
        <v>-178.16845961056069</v>
      </c>
      <c r="I11" s="2">
        <f t="shared" si="1"/>
        <v>178.16845961056069</v>
      </c>
      <c r="J11" s="2">
        <f t="shared" si="2"/>
        <v>16</v>
      </c>
      <c r="K11" s="11">
        <f t="shared" si="3"/>
        <v>356.33691922112138</v>
      </c>
      <c r="L11" s="2">
        <f t="shared" si="4"/>
        <v>984</v>
      </c>
      <c r="M11" s="2">
        <f t="shared" si="5"/>
        <v>689.82754877463674</v>
      </c>
      <c r="N11" s="2">
        <f t="shared" si="6"/>
        <v>3758.1435085460366</v>
      </c>
    </row>
    <row r="12" spans="2:28" x14ac:dyDescent="0.25">
      <c r="G12" s="2">
        <v>9</v>
      </c>
      <c r="H12" s="2">
        <f t="shared" si="0"/>
        <v>-188.88091486436633</v>
      </c>
      <c r="I12" s="2">
        <f t="shared" si="1"/>
        <v>188.88091486436633</v>
      </c>
      <c r="J12" s="2">
        <f t="shared" si="2"/>
        <v>18</v>
      </c>
      <c r="K12" s="11">
        <f t="shared" si="3"/>
        <v>377.76182972873266</v>
      </c>
      <c r="L12" s="2">
        <f t="shared" si="4"/>
        <v>982</v>
      </c>
      <c r="M12" s="2">
        <f t="shared" si="5"/>
        <v>734.0987489498541</v>
      </c>
      <c r="N12" s="2">
        <f t="shared" si="6"/>
        <v>4492.242257495891</v>
      </c>
    </row>
    <row r="13" spans="2:28" x14ac:dyDescent="0.25">
      <c r="B13" s="3" t="s">
        <v>33</v>
      </c>
      <c r="G13" s="2">
        <v>10</v>
      </c>
      <c r="H13" s="2">
        <f t="shared" si="0"/>
        <v>-198.997487421324</v>
      </c>
      <c r="I13" s="2">
        <f t="shared" si="1"/>
        <v>198.997487421324</v>
      </c>
      <c r="J13" s="2">
        <f t="shared" si="2"/>
        <v>20</v>
      </c>
      <c r="K13" s="11">
        <f t="shared" si="3"/>
        <v>397.99497484264799</v>
      </c>
      <c r="L13" s="2">
        <f t="shared" si="4"/>
        <v>980</v>
      </c>
      <c r="M13" s="2">
        <f t="shared" si="5"/>
        <v>775.7568045713806</v>
      </c>
      <c r="N13" s="2">
        <f t="shared" si="6"/>
        <v>5267.9990620672716</v>
      </c>
    </row>
    <row r="14" spans="2:28" x14ac:dyDescent="0.25">
      <c r="B14" t="s">
        <v>25</v>
      </c>
      <c r="C14" t="s">
        <v>21</v>
      </c>
      <c r="D14" s="10">
        <v>2</v>
      </c>
      <c r="E14" t="s">
        <v>26</v>
      </c>
      <c r="G14" s="2">
        <v>11</v>
      </c>
      <c r="H14" s="2">
        <f t="shared" si="0"/>
        <v>-208.60488968382307</v>
      </c>
      <c r="I14" s="2">
        <f t="shared" si="1"/>
        <v>208.60488968382307</v>
      </c>
      <c r="J14" s="2">
        <f t="shared" si="2"/>
        <v>22</v>
      </c>
      <c r="K14" s="11">
        <f t="shared" si="3"/>
        <v>417.20977936764615</v>
      </c>
      <c r="L14" s="2">
        <f t="shared" si="4"/>
        <v>978</v>
      </c>
      <c r="M14" s="2">
        <f t="shared" si="5"/>
        <v>815.20475421029414</v>
      </c>
      <c r="N14" s="2">
        <f t="shared" si="6"/>
        <v>6083.2038162775661</v>
      </c>
    </row>
    <row r="15" spans="2:28" x14ac:dyDescent="0.25">
      <c r="B15" t="s">
        <v>36</v>
      </c>
      <c r="C15" t="s">
        <v>22</v>
      </c>
      <c r="D15" s="15">
        <f>LOOKUP(D9,J:J,N:N*0.00001)</f>
        <v>9.7038209463383929E-2</v>
      </c>
      <c r="E15" t="s">
        <v>44</v>
      </c>
      <c r="G15" s="2">
        <v>12</v>
      </c>
      <c r="H15" s="2">
        <f t="shared" si="0"/>
        <v>-217.77052142105919</v>
      </c>
      <c r="I15" s="2">
        <f t="shared" si="1"/>
        <v>217.77052142105919</v>
      </c>
      <c r="J15" s="2">
        <f t="shared" si="2"/>
        <v>24</v>
      </c>
      <c r="K15" s="11">
        <f t="shared" si="3"/>
        <v>435.54104284211837</v>
      </c>
      <c r="L15" s="2">
        <f t="shared" si="4"/>
        <v>976</v>
      </c>
      <c r="M15" s="2">
        <f t="shared" si="5"/>
        <v>852.75082220976446</v>
      </c>
      <c r="N15" s="2">
        <f t="shared" si="6"/>
        <v>6935.9546384873302</v>
      </c>
    </row>
    <row r="16" spans="2:28" x14ac:dyDescent="0.25">
      <c r="B16" t="s">
        <v>28</v>
      </c>
      <c r="C16" t="s">
        <v>27</v>
      </c>
      <c r="D16" s="15">
        <f>$D$15*$D$14</f>
        <v>0.19407641892676786</v>
      </c>
      <c r="E16" t="s">
        <v>30</v>
      </c>
      <c r="G16" s="2">
        <v>13</v>
      </c>
      <c r="H16" s="2">
        <f t="shared" si="0"/>
        <v>-226.54800815721157</v>
      </c>
      <c r="I16" s="2">
        <f t="shared" si="1"/>
        <v>226.54800815721157</v>
      </c>
      <c r="J16" s="2">
        <f t="shared" si="2"/>
        <v>26</v>
      </c>
      <c r="K16" s="11">
        <f t="shared" si="3"/>
        <v>453.09601631442314</v>
      </c>
      <c r="L16" s="2">
        <f t="shared" si="4"/>
        <v>974</v>
      </c>
      <c r="M16" s="2">
        <f t="shared" si="5"/>
        <v>888.63705915654145</v>
      </c>
      <c r="N16" s="2">
        <f t="shared" si="6"/>
        <v>7824.5916976438712</v>
      </c>
    </row>
    <row r="17" spans="4:14" x14ac:dyDescent="0.25">
      <c r="D17" s="7">
        <f>$D$16*1000</f>
        <v>194.07641892676787</v>
      </c>
      <c r="E17" t="s">
        <v>29</v>
      </c>
      <c r="G17" s="2">
        <v>14</v>
      </c>
      <c r="H17" s="2">
        <f t="shared" si="0"/>
        <v>-234.98085028359225</v>
      </c>
      <c r="I17" s="2">
        <f t="shared" si="1"/>
        <v>234.98085028359225</v>
      </c>
      <c r="J17" s="2">
        <f t="shared" si="2"/>
        <v>28</v>
      </c>
      <c r="K17" s="11">
        <f t="shared" si="3"/>
        <v>469.96170056718449</v>
      </c>
      <c r="L17" s="2">
        <f t="shared" si="4"/>
        <v>972</v>
      </c>
      <c r="M17" s="2">
        <f t="shared" si="5"/>
        <v>923.05771688160758</v>
      </c>
      <c r="N17" s="2">
        <f t="shared" si="6"/>
        <v>8747.6494145254783</v>
      </c>
    </row>
    <row r="18" spans="4:14" x14ac:dyDescent="0.25">
      <c r="G18" s="2">
        <v>15</v>
      </c>
      <c r="H18" s="2">
        <f t="shared" si="0"/>
        <v>-243.10491562286435</v>
      </c>
      <c r="I18" s="2">
        <f t="shared" si="1"/>
        <v>243.10491562286435</v>
      </c>
      <c r="J18" s="2">
        <f t="shared" si="2"/>
        <v>30</v>
      </c>
      <c r="K18" s="11">
        <f t="shared" si="3"/>
        <v>486.20983124572871</v>
      </c>
      <c r="L18" s="2">
        <f t="shared" si="4"/>
        <v>970</v>
      </c>
      <c r="M18" s="2">
        <f t="shared" si="5"/>
        <v>956.17153181291314</v>
      </c>
      <c r="N18" s="2">
        <f t="shared" si="6"/>
        <v>9703.8209463383919</v>
      </c>
    </row>
    <row r="19" spans="4:14" x14ac:dyDescent="0.25">
      <c r="G19" s="2">
        <v>16</v>
      </c>
      <c r="H19" s="2">
        <f t="shared" si="0"/>
        <v>-250.95019426172996</v>
      </c>
      <c r="I19" s="2">
        <f t="shared" si="1"/>
        <v>250.95019426172996</v>
      </c>
      <c r="J19" s="2">
        <f t="shared" si="2"/>
        <v>32</v>
      </c>
      <c r="K19" s="11">
        <f t="shared" si="3"/>
        <v>501.90038852345992</v>
      </c>
      <c r="L19" s="2">
        <f t="shared" si="4"/>
        <v>968</v>
      </c>
      <c r="M19" s="2">
        <f t="shared" si="5"/>
        <v>988.11021976918869</v>
      </c>
      <c r="N19" s="2">
        <f t="shared" si="6"/>
        <v>10691.931166107581</v>
      </c>
    </row>
    <row r="20" spans="4:14" x14ac:dyDescent="0.25">
      <c r="G20" s="2">
        <v>17</v>
      </c>
      <c r="H20" s="2">
        <f t="shared" si="0"/>
        <v>-258.54206620973696</v>
      </c>
      <c r="I20" s="2">
        <f t="shared" si="1"/>
        <v>258.54206620973696</v>
      </c>
      <c r="J20" s="2">
        <f t="shared" si="2"/>
        <v>34</v>
      </c>
      <c r="K20" s="11">
        <f t="shared" si="3"/>
        <v>517.08413241947392</v>
      </c>
      <c r="L20" s="2">
        <f t="shared" si="4"/>
        <v>966</v>
      </c>
      <c r="M20" s="2">
        <f t="shared" si="5"/>
        <v>1018.9845209429338</v>
      </c>
      <c r="N20" s="2">
        <f t="shared" si="6"/>
        <v>11710.915687050514</v>
      </c>
    </row>
    <row r="21" spans="4:14" x14ac:dyDescent="0.25">
      <c r="G21" s="2">
        <v>18</v>
      </c>
      <c r="H21" s="2">
        <f t="shared" si="0"/>
        <v>-265.90223767392405</v>
      </c>
      <c r="I21" s="2">
        <f t="shared" si="1"/>
        <v>265.90223767392405</v>
      </c>
      <c r="J21" s="2">
        <f t="shared" si="2"/>
        <v>36</v>
      </c>
      <c r="K21" s="11">
        <f t="shared" si="3"/>
        <v>531.8044753478481</v>
      </c>
      <c r="L21" s="2">
        <f t="shared" si="4"/>
        <v>964</v>
      </c>
      <c r="M21" s="2">
        <f t="shared" si="5"/>
        <v>1048.8886077673219</v>
      </c>
      <c r="N21" s="2">
        <f t="shared" si="6"/>
        <v>12759.804294817835</v>
      </c>
    </row>
    <row r="22" spans="4:14" x14ac:dyDescent="0.25">
      <c r="G22" s="2">
        <v>19</v>
      </c>
      <c r="H22" s="2">
        <f t="shared" si="0"/>
        <v>-273.04944607158609</v>
      </c>
      <c r="I22" s="2">
        <f t="shared" si="1"/>
        <v>273.04944607158609</v>
      </c>
      <c r="J22" s="2">
        <f t="shared" si="2"/>
        <v>38</v>
      </c>
      <c r="K22" s="11">
        <f t="shared" si="3"/>
        <v>546.09889214317218</v>
      </c>
      <c r="L22" s="2">
        <f t="shared" si="4"/>
        <v>962</v>
      </c>
      <c r="M22" s="2">
        <f t="shared" si="5"/>
        <v>1077.9033674910202</v>
      </c>
      <c r="N22" s="2">
        <f t="shared" si="6"/>
        <v>13837.707662308856</v>
      </c>
    </row>
    <row r="23" spans="4:14" x14ac:dyDescent="0.25">
      <c r="G23" s="2">
        <v>20</v>
      </c>
      <c r="H23" s="2">
        <f t="shared" si="0"/>
        <v>-280</v>
      </c>
      <c r="I23" s="2">
        <f t="shared" si="1"/>
        <v>280</v>
      </c>
      <c r="J23" s="2">
        <f t="shared" si="2"/>
        <v>40</v>
      </c>
      <c r="K23" s="11">
        <f t="shared" si="3"/>
        <v>560</v>
      </c>
      <c r="L23" s="2">
        <f t="shared" si="4"/>
        <v>960</v>
      </c>
      <c r="M23" s="2">
        <f t="shared" si="5"/>
        <v>1106.0988921431722</v>
      </c>
      <c r="N23" s="2">
        <f t="shared" si="6"/>
        <v>14943.806554452029</v>
      </c>
    </row>
    <row r="24" spans="4:14" x14ac:dyDescent="0.25">
      <c r="G24" s="2">
        <v>21</v>
      </c>
      <c r="H24" s="2">
        <f t="shared" si="0"/>
        <v>-286.76819907374664</v>
      </c>
      <c r="I24" s="2">
        <f t="shared" si="1"/>
        <v>286.76819907374664</v>
      </c>
      <c r="J24" s="2">
        <f t="shared" si="2"/>
        <v>42</v>
      </c>
      <c r="K24" s="11">
        <f t="shared" si="3"/>
        <v>573.53639814749329</v>
      </c>
      <c r="L24" s="2">
        <f t="shared" si="4"/>
        <v>958</v>
      </c>
      <c r="M24" s="2">
        <f t="shared" si="5"/>
        <v>1133.5363981474934</v>
      </c>
      <c r="N24" s="2">
        <f t="shared" si="6"/>
        <v>16077.342952599522</v>
      </c>
    </row>
    <row r="25" spans="4:14" x14ac:dyDescent="0.25">
      <c r="G25" s="2">
        <v>22</v>
      </c>
      <c r="H25" s="2">
        <f t="shared" si="0"/>
        <v>-293.36666477294244</v>
      </c>
      <c r="I25" s="2">
        <f t="shared" si="1"/>
        <v>293.36666477294244</v>
      </c>
      <c r="J25" s="2">
        <f t="shared" si="2"/>
        <v>44</v>
      </c>
      <c r="K25" s="11">
        <f t="shared" si="3"/>
        <v>586.73332954588489</v>
      </c>
      <c r="L25" s="2">
        <f t="shared" si="4"/>
        <v>956</v>
      </c>
      <c r="M25" s="2">
        <f t="shared" si="5"/>
        <v>1160.2697276933782</v>
      </c>
      <c r="N25" s="2">
        <f t="shared" si="6"/>
        <v>17237.612680292899</v>
      </c>
    </row>
    <row r="26" spans="4:14" x14ac:dyDescent="0.25">
      <c r="G26" s="2">
        <v>23</v>
      </c>
      <c r="H26" s="2">
        <f t="shared" si="0"/>
        <v>-299.80660433019148</v>
      </c>
      <c r="I26" s="2">
        <f t="shared" si="1"/>
        <v>299.80660433019148</v>
      </c>
      <c r="J26" s="2">
        <f t="shared" si="2"/>
        <v>46</v>
      </c>
      <c r="K26" s="11">
        <f t="shared" si="3"/>
        <v>599.61320866038295</v>
      </c>
      <c r="L26" s="2">
        <f t="shared" si="4"/>
        <v>954</v>
      </c>
      <c r="M26" s="2">
        <f t="shared" si="5"/>
        <v>1186.3465382062677</v>
      </c>
      <c r="N26" s="2">
        <f t="shared" si="6"/>
        <v>18423.959218499167</v>
      </c>
    </row>
    <row r="27" spans="4:14" x14ac:dyDescent="0.25">
      <c r="G27" s="2">
        <v>24</v>
      </c>
      <c r="H27" s="2">
        <f t="shared" si="0"/>
        <v>-306.09802351534387</v>
      </c>
      <c r="I27" s="2">
        <f t="shared" si="1"/>
        <v>306.09802351534387</v>
      </c>
      <c r="J27" s="2">
        <f t="shared" si="2"/>
        <v>48</v>
      </c>
      <c r="K27" s="11">
        <f t="shared" si="3"/>
        <v>612.19604703068774</v>
      </c>
      <c r="L27" s="2">
        <f t="shared" si="4"/>
        <v>952</v>
      </c>
      <c r="M27" s="2">
        <f t="shared" si="5"/>
        <v>1211.8092556910706</v>
      </c>
      <c r="N27" s="2">
        <f t="shared" si="6"/>
        <v>19635.768474190238</v>
      </c>
    </row>
    <row r="28" spans="4:14" x14ac:dyDescent="0.25">
      <c r="G28" s="2">
        <v>25</v>
      </c>
      <c r="H28" s="2">
        <f t="shared" si="0"/>
        <v>-312.24989991991993</v>
      </c>
      <c r="I28" s="2">
        <f t="shared" si="1"/>
        <v>312.24989991991993</v>
      </c>
      <c r="J28" s="2">
        <f t="shared" si="2"/>
        <v>50</v>
      </c>
      <c r="K28" s="11">
        <f t="shared" si="3"/>
        <v>624.49979983983985</v>
      </c>
      <c r="L28" s="2">
        <f t="shared" si="4"/>
        <v>950</v>
      </c>
      <c r="M28" s="2">
        <f t="shared" si="5"/>
        <v>1236.6958468705275</v>
      </c>
      <c r="N28" s="2">
        <f t="shared" si="6"/>
        <v>20872.464321060765</v>
      </c>
    </row>
    <row r="29" spans="4:14" x14ac:dyDescent="0.25">
      <c r="G29" s="2">
        <v>26</v>
      </c>
      <c r="H29" s="2">
        <f t="shared" si="0"/>
        <v>-318.2703253525217</v>
      </c>
      <c r="I29" s="2">
        <f t="shared" si="1"/>
        <v>318.2703253525217</v>
      </c>
      <c r="J29" s="2">
        <f t="shared" si="2"/>
        <v>52</v>
      </c>
      <c r="K29" s="11">
        <f t="shared" si="3"/>
        <v>636.54065070504339</v>
      </c>
      <c r="L29" s="2">
        <f t="shared" si="4"/>
        <v>948</v>
      </c>
      <c r="M29" s="2">
        <f t="shared" si="5"/>
        <v>1261.0404505448832</v>
      </c>
      <c r="N29" s="2">
        <f t="shared" si="6"/>
        <v>22133.504771605647</v>
      </c>
    </row>
    <row r="30" spans="4:14" x14ac:dyDescent="0.25">
      <c r="G30" s="2">
        <v>27</v>
      </c>
      <c r="H30" s="2">
        <f t="shared" si="0"/>
        <v>-324.16662382176236</v>
      </c>
      <c r="I30" s="2">
        <f t="shared" si="1"/>
        <v>324.16662382176236</v>
      </c>
      <c r="J30" s="2">
        <f t="shared" si="2"/>
        <v>54</v>
      </c>
      <c r="K30" s="11">
        <f t="shared" si="3"/>
        <v>648.33324764352471</v>
      </c>
      <c r="L30" s="2">
        <f t="shared" si="4"/>
        <v>946</v>
      </c>
      <c r="M30" s="2">
        <f t="shared" si="5"/>
        <v>1284.8738983485682</v>
      </c>
      <c r="N30" s="2">
        <f t="shared" si="6"/>
        <v>23418.378669954214</v>
      </c>
    </row>
    <row r="31" spans="4:14" x14ac:dyDescent="0.25">
      <c r="G31" s="2">
        <v>28</v>
      </c>
      <c r="H31" s="2">
        <f t="shared" si="0"/>
        <v>-329.94545003682049</v>
      </c>
      <c r="I31" s="2">
        <f t="shared" si="1"/>
        <v>329.94545003682049</v>
      </c>
      <c r="J31" s="2">
        <f t="shared" si="2"/>
        <v>56</v>
      </c>
      <c r="K31" s="11">
        <f t="shared" si="3"/>
        <v>659.89090007364098</v>
      </c>
      <c r="L31" s="2">
        <f t="shared" si="4"/>
        <v>944</v>
      </c>
      <c r="M31" s="2">
        <f t="shared" si="5"/>
        <v>1308.2241477171656</v>
      </c>
      <c r="N31" s="2">
        <f t="shared" si="6"/>
        <v>24726.602817671381</v>
      </c>
    </row>
    <row r="32" spans="4:14" x14ac:dyDescent="0.25">
      <c r="G32" s="2">
        <v>29</v>
      </c>
      <c r="H32" s="2">
        <f t="shared" si="0"/>
        <v>-335.61287222036049</v>
      </c>
      <c r="I32" s="2">
        <f t="shared" si="1"/>
        <v>335.61287222036049</v>
      </c>
      <c r="J32" s="2">
        <f t="shared" si="2"/>
        <v>58</v>
      </c>
      <c r="K32" s="11">
        <f t="shared" si="3"/>
        <v>671.22574444072097</v>
      </c>
      <c r="L32" s="2">
        <f t="shared" si="4"/>
        <v>942</v>
      </c>
      <c r="M32" s="2">
        <f t="shared" si="5"/>
        <v>1331.116644514362</v>
      </c>
      <c r="N32" s="2">
        <f t="shared" si="6"/>
        <v>26057.719462185742</v>
      </c>
    </row>
    <row r="33" spans="7:14" x14ac:dyDescent="0.25">
      <c r="G33" s="2">
        <v>30</v>
      </c>
      <c r="H33" s="2">
        <f t="shared" si="0"/>
        <v>-341.17444218463959</v>
      </c>
      <c r="I33" s="2">
        <f t="shared" si="1"/>
        <v>341.17444218463959</v>
      </c>
      <c r="J33" s="2">
        <f t="shared" si="2"/>
        <v>60</v>
      </c>
      <c r="K33" s="11">
        <f t="shared" si="3"/>
        <v>682.34888436927918</v>
      </c>
      <c r="L33" s="2">
        <f t="shared" si="4"/>
        <v>940</v>
      </c>
      <c r="M33" s="2">
        <f t="shared" si="5"/>
        <v>1353.5746288100001</v>
      </c>
      <c r="N33" s="2">
        <f t="shared" si="6"/>
        <v>27411.294090995743</v>
      </c>
    </row>
    <row r="34" spans="7:14" x14ac:dyDescent="0.25">
      <c r="G34" s="2">
        <v>31</v>
      </c>
      <c r="H34" s="2">
        <f t="shared" si="0"/>
        <v>-346.63525498714063</v>
      </c>
      <c r="I34" s="2">
        <f t="shared" si="1"/>
        <v>346.63525498714063</v>
      </c>
      <c r="J34" s="2">
        <f t="shared" si="2"/>
        <v>62</v>
      </c>
      <c r="K34" s="11">
        <f t="shared" si="3"/>
        <v>693.27050997428125</v>
      </c>
      <c r="L34" s="2">
        <f t="shared" si="4"/>
        <v>938</v>
      </c>
      <c r="M34" s="2">
        <f t="shared" si="5"/>
        <v>1375.6193943435605</v>
      </c>
      <c r="N34" s="2">
        <f t="shared" si="6"/>
        <v>28786.913485339304</v>
      </c>
    </row>
    <row r="35" spans="7:14" x14ac:dyDescent="0.25">
      <c r="G35" s="2">
        <v>32</v>
      </c>
      <c r="H35" s="2">
        <f t="shared" si="0"/>
        <v>-352</v>
      </c>
      <c r="I35" s="2">
        <f t="shared" si="1"/>
        <v>352</v>
      </c>
      <c r="J35" s="2">
        <f t="shared" si="2"/>
        <v>64</v>
      </c>
      <c r="K35" s="11">
        <f t="shared" si="3"/>
        <v>704</v>
      </c>
      <c r="L35" s="2">
        <f t="shared" si="4"/>
        <v>936</v>
      </c>
      <c r="M35" s="2">
        <f t="shared" si="5"/>
        <v>1397.2705099742811</v>
      </c>
      <c r="N35" s="2">
        <f t="shared" si="6"/>
        <v>30184.183995313586</v>
      </c>
    </row>
    <row r="36" spans="7:14" x14ac:dyDescent="0.25">
      <c r="G36" s="2">
        <v>33</v>
      </c>
      <c r="H36" s="2">
        <f t="shared" si="0"/>
        <v>-357.27300485762987</v>
      </c>
      <c r="I36" s="2">
        <f t="shared" si="1"/>
        <v>357.27300485762987</v>
      </c>
      <c r="J36" s="2">
        <f t="shared" si="2"/>
        <v>66</v>
      </c>
      <c r="K36" s="11">
        <f t="shared" si="3"/>
        <v>714.54600971525974</v>
      </c>
      <c r="L36" s="2">
        <f t="shared" si="4"/>
        <v>934</v>
      </c>
      <c r="M36" s="2">
        <f t="shared" si="5"/>
        <v>1418.5460097152597</v>
      </c>
      <c r="N36" s="2">
        <f t="shared" si="6"/>
        <v>31602.730005028847</v>
      </c>
    </row>
    <row r="37" spans="7:14" x14ac:dyDescent="0.25">
      <c r="G37" s="2">
        <v>34</v>
      </c>
      <c r="H37" s="2">
        <f t="shared" si="0"/>
        <v>-362.45827346054608</v>
      </c>
      <c r="I37" s="2">
        <f t="shared" si="1"/>
        <v>362.45827346054608</v>
      </c>
      <c r="J37" s="2">
        <f t="shared" si="2"/>
        <v>68</v>
      </c>
      <c r="K37" s="11">
        <f t="shared" si="3"/>
        <v>724.91654692109216</v>
      </c>
      <c r="L37" s="2">
        <f t="shared" si="4"/>
        <v>932</v>
      </c>
      <c r="M37" s="2">
        <f t="shared" si="5"/>
        <v>1439.462556636352</v>
      </c>
      <c r="N37" s="2">
        <f t="shared" si="6"/>
        <v>33042.192561665201</v>
      </c>
    </row>
    <row r="38" spans="7:14" x14ac:dyDescent="0.25">
      <c r="G38" s="2">
        <v>35</v>
      </c>
      <c r="H38" s="2">
        <f t="shared" si="0"/>
        <v>-367.55951898978213</v>
      </c>
      <c r="I38" s="2">
        <f t="shared" si="1"/>
        <v>367.55951898978213</v>
      </c>
      <c r="J38" s="2">
        <f t="shared" si="2"/>
        <v>70</v>
      </c>
      <c r="K38" s="11">
        <f t="shared" si="3"/>
        <v>735.11903797956427</v>
      </c>
      <c r="L38" s="2">
        <f t="shared" si="4"/>
        <v>930</v>
      </c>
      <c r="M38" s="2">
        <f t="shared" si="5"/>
        <v>1460.0355849006564</v>
      </c>
      <c r="N38" s="2">
        <f t="shared" si="6"/>
        <v>34502.22814656586</v>
      </c>
    </row>
    <row r="39" spans="7:14" x14ac:dyDescent="0.25">
      <c r="G39" s="2">
        <v>36</v>
      </c>
      <c r="H39" s="2">
        <f t="shared" si="0"/>
        <v>-372.58019271024057</v>
      </c>
      <c r="I39" s="2">
        <f t="shared" si="1"/>
        <v>372.58019271024057</v>
      </c>
      <c r="J39" s="2">
        <f t="shared" si="2"/>
        <v>72</v>
      </c>
      <c r="K39" s="11">
        <f t="shared" si="3"/>
        <v>745.16038542048113</v>
      </c>
      <c r="L39" s="2">
        <f t="shared" si="4"/>
        <v>928</v>
      </c>
      <c r="M39" s="2">
        <f t="shared" si="5"/>
        <v>1480.2794234000453</v>
      </c>
      <c r="N39" s="2">
        <f t="shared" si="6"/>
        <v>35982.507569965906</v>
      </c>
    </row>
    <row r="40" spans="7:14" x14ac:dyDescent="0.25">
      <c r="G40" s="2">
        <v>37</v>
      </c>
      <c r="H40" s="2">
        <f t="shared" si="0"/>
        <v>-377.52350920174496</v>
      </c>
      <c r="I40" s="2">
        <f t="shared" si="1"/>
        <v>377.52350920174496</v>
      </c>
      <c r="J40" s="2">
        <f t="shared" si="2"/>
        <v>74</v>
      </c>
      <c r="K40" s="11">
        <f t="shared" si="3"/>
        <v>755.04701840348991</v>
      </c>
      <c r="L40" s="2">
        <f t="shared" si="4"/>
        <v>926</v>
      </c>
      <c r="M40" s="2">
        <f t="shared" si="5"/>
        <v>1500.2074038239712</v>
      </c>
      <c r="N40" s="2">
        <f t="shared" si="6"/>
        <v>37482.71497378988</v>
      </c>
    </row>
    <row r="41" spans="7:14" x14ac:dyDescent="0.25">
      <c r="G41" s="2">
        <v>38</v>
      </c>
      <c r="H41" s="2">
        <f t="shared" si="0"/>
        <v>-382.39246854508002</v>
      </c>
      <c r="I41" s="2">
        <f t="shared" si="1"/>
        <v>382.39246854508002</v>
      </c>
      <c r="J41" s="2">
        <f t="shared" si="2"/>
        <v>76</v>
      </c>
      <c r="K41" s="11">
        <f t="shared" si="3"/>
        <v>764.78493709016004</v>
      </c>
      <c r="L41" s="2">
        <f t="shared" si="4"/>
        <v>924</v>
      </c>
      <c r="M41" s="2">
        <f t="shared" si="5"/>
        <v>1519.83195549365</v>
      </c>
      <c r="N41" s="2">
        <f t="shared" si="6"/>
        <v>39002.546929283533</v>
      </c>
    </row>
    <row r="42" spans="7:14" x14ac:dyDescent="0.25">
      <c r="G42" s="2">
        <v>39</v>
      </c>
      <c r="H42" s="2">
        <f t="shared" si="0"/>
        <v>-387.18987590070071</v>
      </c>
      <c r="I42" s="2">
        <f t="shared" si="1"/>
        <v>387.18987590070071</v>
      </c>
      <c r="J42" s="2">
        <f t="shared" si="2"/>
        <v>78</v>
      </c>
      <c r="K42" s="11">
        <f t="shared" si="3"/>
        <v>774.37975180140143</v>
      </c>
      <c r="L42" s="2">
        <f t="shared" si="4"/>
        <v>922</v>
      </c>
      <c r="M42" s="2">
        <f t="shared" si="5"/>
        <v>1539.1646888915616</v>
      </c>
      <c r="N42" s="2">
        <f t="shared" si="6"/>
        <v>40541.711618175097</v>
      </c>
    </row>
    <row r="43" spans="7:14" x14ac:dyDescent="0.25">
      <c r="G43" s="2">
        <v>40</v>
      </c>
      <c r="H43" s="2">
        <f t="shared" si="0"/>
        <v>-391.91835884530849</v>
      </c>
      <c r="I43" s="2">
        <f t="shared" si="1"/>
        <v>391.91835884530849</v>
      </c>
      <c r="J43" s="2">
        <f t="shared" si="2"/>
        <v>80</v>
      </c>
      <c r="K43" s="11">
        <f t="shared" si="3"/>
        <v>783.83671769061698</v>
      </c>
      <c r="L43" s="2">
        <f t="shared" si="4"/>
        <v>920</v>
      </c>
      <c r="M43" s="2">
        <f t="shared" si="5"/>
        <v>1558.2164694920184</v>
      </c>
      <c r="N43" s="2">
        <f t="shared" si="6"/>
        <v>42099.928087667118</v>
      </c>
    </row>
    <row r="44" spans="7:14" x14ac:dyDescent="0.25">
      <c r="G44" s="2">
        <v>41</v>
      </c>
      <c r="H44" s="2">
        <f t="shared" si="0"/>
        <v>-396.58038277252194</v>
      </c>
      <c r="I44" s="2">
        <f t="shared" si="1"/>
        <v>396.58038277252194</v>
      </c>
      <c r="J44" s="2">
        <f t="shared" si="2"/>
        <v>82</v>
      </c>
      <c r="K44" s="11">
        <f t="shared" si="3"/>
        <v>793.16076554504389</v>
      </c>
      <c r="L44" s="2">
        <f t="shared" si="4"/>
        <v>918</v>
      </c>
      <c r="M44" s="2">
        <f t="shared" si="5"/>
        <v>1576.9974832356609</v>
      </c>
      <c r="N44" s="2">
        <f t="shared" si="6"/>
        <v>43676.925570902778</v>
      </c>
    </row>
    <row r="45" spans="7:14" x14ac:dyDescent="0.25">
      <c r="G45" s="2">
        <v>42</v>
      </c>
      <c r="H45" s="2">
        <f t="shared" si="0"/>
        <v>-401.17826461561947</v>
      </c>
      <c r="I45" s="2">
        <f t="shared" si="1"/>
        <v>401.17826461561947</v>
      </c>
      <c r="J45" s="2">
        <f t="shared" si="2"/>
        <v>84</v>
      </c>
      <c r="K45" s="11">
        <f t="shared" si="3"/>
        <v>802.35652923123894</v>
      </c>
      <c r="L45" s="2">
        <f t="shared" si="4"/>
        <v>916</v>
      </c>
      <c r="M45" s="2">
        <f t="shared" si="5"/>
        <v>1595.5172947762828</v>
      </c>
      <c r="N45" s="2">
        <f t="shared" si="6"/>
        <v>45272.442865679062</v>
      </c>
    </row>
    <row r="46" spans="7:14" x14ac:dyDescent="0.25">
      <c r="G46" s="2">
        <v>43</v>
      </c>
      <c r="H46" s="2">
        <f t="shared" si="0"/>
        <v>-405.7141851106515</v>
      </c>
      <c r="I46" s="2">
        <f t="shared" si="1"/>
        <v>405.7141851106515</v>
      </c>
      <c r="J46" s="2">
        <f t="shared" si="2"/>
        <v>86</v>
      </c>
      <c r="K46" s="11">
        <f t="shared" si="3"/>
        <v>811.428370221303</v>
      </c>
      <c r="L46" s="2">
        <f t="shared" si="4"/>
        <v>914</v>
      </c>
      <c r="M46" s="2">
        <f t="shared" si="5"/>
        <v>1613.784899452542</v>
      </c>
      <c r="N46" s="2">
        <f t="shared" si="6"/>
        <v>46886.227765131604</v>
      </c>
    </row>
    <row r="47" spans="7:14" x14ac:dyDescent="0.25">
      <c r="G47" s="2">
        <v>44</v>
      </c>
      <c r="H47" s="2">
        <f t="shared" si="0"/>
        <v>-410.19019978541661</v>
      </c>
      <c r="I47" s="2">
        <f t="shared" si="1"/>
        <v>410.19019978541661</v>
      </c>
      <c r="J47" s="2">
        <f t="shared" si="2"/>
        <v>88</v>
      </c>
      <c r="K47" s="11">
        <f t="shared" si="3"/>
        <v>820.38039957083322</v>
      </c>
      <c r="L47" s="2">
        <f t="shared" si="4"/>
        <v>912</v>
      </c>
      <c r="M47" s="2">
        <f t="shared" si="5"/>
        <v>1631.8087697921362</v>
      </c>
      <c r="N47" s="2">
        <f t="shared" si="6"/>
        <v>48518.03653492374</v>
      </c>
    </row>
    <row r="48" spans="7:14" x14ac:dyDescent="0.25">
      <c r="G48" s="2">
        <v>45</v>
      </c>
      <c r="H48" s="2">
        <f t="shared" si="0"/>
        <v>-414.60824883255759</v>
      </c>
      <c r="I48" s="2">
        <f t="shared" si="1"/>
        <v>414.60824883255759</v>
      </c>
      <c r="J48" s="2">
        <f t="shared" si="2"/>
        <v>90</v>
      </c>
      <c r="K48" s="11">
        <f t="shared" si="3"/>
        <v>829.21649766511518</v>
      </c>
      <c r="L48" s="2">
        <f t="shared" si="4"/>
        <v>910</v>
      </c>
      <c r="M48" s="2">
        <f t="shared" si="5"/>
        <v>1649.5968972359483</v>
      </c>
      <c r="N48" s="2">
        <f t="shared" si="6"/>
        <v>50167.633432159688</v>
      </c>
    </row>
    <row r="49" spans="7:14" x14ac:dyDescent="0.25">
      <c r="G49" s="2">
        <v>46</v>
      </c>
      <c r="H49" s="2">
        <f t="shared" si="0"/>
        <v>-418.9701660023062</v>
      </c>
      <c r="I49" s="2">
        <f t="shared" si="1"/>
        <v>418.9701660023062</v>
      </c>
      <c r="J49" s="2">
        <f t="shared" si="2"/>
        <v>92</v>
      </c>
      <c r="K49" s="11">
        <f t="shared" si="3"/>
        <v>837.9403320046124</v>
      </c>
      <c r="L49" s="2">
        <f t="shared" si="4"/>
        <v>908</v>
      </c>
      <c r="M49" s="2">
        <f t="shared" si="5"/>
        <v>1667.1568296697276</v>
      </c>
      <c r="N49" s="2">
        <f t="shared" si="6"/>
        <v>51834.790261829417</v>
      </c>
    </row>
    <row r="50" spans="7:14" x14ac:dyDescent="0.25">
      <c r="G50" s="2">
        <v>47</v>
      </c>
      <c r="H50" s="2">
        <f t="shared" si="0"/>
        <v>-423.27768663136499</v>
      </c>
      <c r="I50" s="2">
        <f t="shared" si="1"/>
        <v>423.27768663136499</v>
      </c>
      <c r="J50" s="2">
        <f t="shared" si="2"/>
        <v>94</v>
      </c>
      <c r="K50" s="11">
        <f t="shared" si="3"/>
        <v>846.55537326272997</v>
      </c>
      <c r="L50" s="2">
        <f t="shared" si="4"/>
        <v>906</v>
      </c>
      <c r="M50" s="2">
        <f t="shared" si="5"/>
        <v>1684.4957052673424</v>
      </c>
      <c r="N50" s="2">
        <f t="shared" si="6"/>
        <v>53519.285967096759</v>
      </c>
    </row>
    <row r="51" spans="7:14" x14ac:dyDescent="0.25">
      <c r="G51" s="2">
        <v>48</v>
      </c>
      <c r="H51" s="2">
        <f t="shared" si="0"/>
        <v>-427.5324549083964</v>
      </c>
      <c r="I51" s="2">
        <f t="shared" si="1"/>
        <v>427.5324549083964</v>
      </c>
      <c r="J51" s="2">
        <f t="shared" si="2"/>
        <v>96</v>
      </c>
      <c r="K51" s="11">
        <f t="shared" si="3"/>
        <v>855.06490981679281</v>
      </c>
      <c r="L51" s="2">
        <f t="shared" si="4"/>
        <v>904</v>
      </c>
      <c r="M51" s="2">
        <f t="shared" si="5"/>
        <v>1701.6202830795228</v>
      </c>
      <c r="N51" s="2">
        <f t="shared" si="6"/>
        <v>55220.906250176282</v>
      </c>
    </row>
    <row r="52" spans="7:14" x14ac:dyDescent="0.25">
      <c r="G52" s="2">
        <v>49</v>
      </c>
      <c r="H52" s="2">
        <f t="shared" si="0"/>
        <v>-431.73603046305971</v>
      </c>
      <c r="I52" s="2">
        <f t="shared" si="1"/>
        <v>431.73603046305971</v>
      </c>
      <c r="J52" s="2">
        <f t="shared" si="2"/>
        <v>98</v>
      </c>
      <c r="K52" s="11">
        <f t="shared" si="3"/>
        <v>863.47206092611941</v>
      </c>
      <c r="L52" s="2">
        <f t="shared" si="4"/>
        <v>902</v>
      </c>
      <c r="M52" s="2">
        <f t="shared" si="5"/>
        <v>1718.5369707429122</v>
      </c>
      <c r="N52" s="2">
        <f t="shared" si="6"/>
        <v>56939.443220919195</v>
      </c>
    </row>
    <row r="53" spans="7:14" x14ac:dyDescent="0.25">
      <c r="G53" s="2">
        <v>50</v>
      </c>
      <c r="H53" s="2">
        <f t="shared" si="0"/>
        <v>-435.88989435406734</v>
      </c>
      <c r="I53" s="2">
        <f t="shared" si="1"/>
        <v>435.88989435406734</v>
      </c>
      <c r="J53" s="2">
        <f t="shared" si="2"/>
        <v>100</v>
      </c>
      <c r="K53" s="11">
        <f t="shared" si="3"/>
        <v>871.77978870813467</v>
      </c>
      <c r="L53" s="2">
        <f t="shared" si="4"/>
        <v>900</v>
      </c>
      <c r="M53" s="2">
        <f t="shared" si="5"/>
        <v>1735.2518496342541</v>
      </c>
      <c r="N53" s="2">
        <f t="shared" si="6"/>
        <v>58674.695070553447</v>
      </c>
    </row>
    <row r="54" spans="7:14" x14ac:dyDescent="0.25">
      <c r="G54" s="2">
        <v>51</v>
      </c>
      <c r="H54" s="2">
        <f t="shared" si="0"/>
        <v>-439.99545452197572</v>
      </c>
      <c r="I54" s="2">
        <f t="shared" si="1"/>
        <v>439.99545452197572</v>
      </c>
      <c r="J54" s="2">
        <f t="shared" si="2"/>
        <v>102</v>
      </c>
      <c r="K54" s="11">
        <f t="shared" si="3"/>
        <v>879.99090904395143</v>
      </c>
      <c r="L54" s="2">
        <f t="shared" si="4"/>
        <v>898</v>
      </c>
      <c r="M54" s="2">
        <f t="shared" si="5"/>
        <v>1751.7706977520861</v>
      </c>
      <c r="N54" s="2">
        <f t="shared" si="6"/>
        <v>60426.465768305534</v>
      </c>
    </row>
    <row r="55" spans="7:14" x14ac:dyDescent="0.25">
      <c r="G55" s="2">
        <v>52</v>
      </c>
      <c r="H55" s="2">
        <f t="shared" si="0"/>
        <v>-444.05405076409335</v>
      </c>
      <c r="I55" s="2">
        <f t="shared" si="1"/>
        <v>444.05405076409335</v>
      </c>
      <c r="J55" s="2">
        <f t="shared" si="2"/>
        <v>104</v>
      </c>
      <c r="K55" s="11">
        <f t="shared" si="3"/>
        <v>888.10810152818669</v>
      </c>
      <c r="L55" s="2">
        <f t="shared" si="4"/>
        <v>896</v>
      </c>
      <c r="M55" s="2">
        <f t="shared" si="5"/>
        <v>1768.099010572138</v>
      </c>
      <c r="N55" s="2">
        <f t="shared" si="6"/>
        <v>62194.56477887767</v>
      </c>
    </row>
    <row r="56" spans="7:14" x14ac:dyDescent="0.25">
      <c r="G56" s="2">
        <v>53</v>
      </c>
      <c r="H56" s="2">
        <f t="shared" si="0"/>
        <v>-448.06695928175736</v>
      </c>
      <c r="I56" s="2">
        <f t="shared" si="1"/>
        <v>448.06695928175736</v>
      </c>
      <c r="J56" s="2">
        <f t="shared" si="2"/>
        <v>106</v>
      </c>
      <c r="K56" s="11">
        <f t="shared" si="3"/>
        <v>896.13391856351473</v>
      </c>
      <c r="L56" s="2">
        <f t="shared" si="4"/>
        <v>894</v>
      </c>
      <c r="M56" s="2">
        <f t="shared" si="5"/>
        <v>1784.2420200917013</v>
      </c>
      <c r="N56" s="2">
        <f t="shared" si="6"/>
        <v>63978.806798969374</v>
      </c>
    </row>
    <row r="57" spans="7:14" x14ac:dyDescent="0.25">
      <c r="G57" s="2">
        <v>54</v>
      </c>
      <c r="H57" s="2">
        <f t="shared" si="0"/>
        <v>-452.03539684409674</v>
      </c>
      <c r="I57" s="2">
        <f t="shared" si="1"/>
        <v>452.03539684409674</v>
      </c>
      <c r="J57" s="2">
        <f t="shared" si="2"/>
        <v>108</v>
      </c>
      <c r="K57" s="11">
        <f t="shared" si="3"/>
        <v>904.07079368819348</v>
      </c>
      <c r="L57" s="2">
        <f t="shared" si="4"/>
        <v>892</v>
      </c>
      <c r="M57" s="2">
        <f t="shared" si="5"/>
        <v>1800.2047122517083</v>
      </c>
      <c r="N57" s="2">
        <f t="shared" si="6"/>
        <v>65779.011511221077</v>
      </c>
    </row>
    <row r="58" spans="7:14" x14ac:dyDescent="0.25">
      <c r="G58" s="2">
        <v>55</v>
      </c>
      <c r="H58" s="2">
        <f t="shared" si="0"/>
        <v>-455.96052460711991</v>
      </c>
      <c r="I58" s="2">
        <f t="shared" si="1"/>
        <v>455.96052460711991</v>
      </c>
      <c r="J58" s="2">
        <f t="shared" si="2"/>
        <v>110</v>
      </c>
      <c r="K58" s="11">
        <f t="shared" si="3"/>
        <v>911.92104921423982</v>
      </c>
      <c r="L58" s="2">
        <f t="shared" si="4"/>
        <v>890</v>
      </c>
      <c r="M58" s="2">
        <f t="shared" si="5"/>
        <v>1815.9918429024333</v>
      </c>
      <c r="N58" s="2">
        <f t="shared" si="6"/>
        <v>67595.003354123517</v>
      </c>
    </row>
    <row r="59" spans="7:14" x14ac:dyDescent="0.25">
      <c r="G59" s="2">
        <v>56</v>
      </c>
      <c r="H59" s="2">
        <f t="shared" si="0"/>
        <v>-459.84345162239725</v>
      </c>
      <c r="I59" s="2">
        <f t="shared" si="1"/>
        <v>459.84345162239725</v>
      </c>
      <c r="J59" s="2">
        <f t="shared" si="2"/>
        <v>112</v>
      </c>
      <c r="K59" s="11">
        <f t="shared" si="3"/>
        <v>919.68690324479451</v>
      </c>
      <c r="L59" s="2">
        <f t="shared" si="4"/>
        <v>888</v>
      </c>
      <c r="M59" s="2">
        <f t="shared" si="5"/>
        <v>1831.6079524590343</v>
      </c>
      <c r="N59" s="2">
        <f t="shared" si="6"/>
        <v>69426.611306582548</v>
      </c>
    </row>
    <row r="60" spans="7:14" x14ac:dyDescent="0.25">
      <c r="G60" s="2">
        <v>57</v>
      </c>
      <c r="H60" s="2">
        <f t="shared" si="0"/>
        <v>-463.68523806565162</v>
      </c>
      <c r="I60" s="2">
        <f t="shared" si="1"/>
        <v>463.68523806565162</v>
      </c>
      <c r="J60" s="2">
        <f t="shared" si="2"/>
        <v>114</v>
      </c>
      <c r="K60" s="11">
        <f t="shared" si="3"/>
        <v>927.37047613130323</v>
      </c>
      <c r="L60" s="2">
        <f t="shared" si="4"/>
        <v>886</v>
      </c>
      <c r="M60" s="2">
        <f t="shared" si="5"/>
        <v>1847.0573793760977</v>
      </c>
      <c r="N60" s="2">
        <f t="shared" si="6"/>
        <v>71273.668685958648</v>
      </c>
    </row>
    <row r="61" spans="7:14" x14ac:dyDescent="0.25">
      <c r="G61" s="2">
        <v>58</v>
      </c>
      <c r="H61" s="2">
        <f t="shared" si="0"/>
        <v>-467.48689821213173</v>
      </c>
      <c r="I61" s="2">
        <f t="shared" si="1"/>
        <v>467.48689821213173</v>
      </c>
      <c r="J61" s="2">
        <f t="shared" si="2"/>
        <v>116</v>
      </c>
      <c r="K61" s="11">
        <f t="shared" si="3"/>
        <v>934.97379642426347</v>
      </c>
      <c r="L61" s="2">
        <f t="shared" si="4"/>
        <v>884</v>
      </c>
      <c r="M61" s="2">
        <f t="shared" si="5"/>
        <v>1862.3442725555667</v>
      </c>
      <c r="N61" s="2">
        <f t="shared" si="6"/>
        <v>73136.012958514213</v>
      </c>
    </row>
    <row r="62" spans="7:14" x14ac:dyDescent="0.25">
      <c r="G62" s="2">
        <v>59</v>
      </c>
      <c r="H62" s="2">
        <f t="shared" si="0"/>
        <v>-471.24940318264595</v>
      </c>
      <c r="I62" s="2">
        <f t="shared" si="1"/>
        <v>471.24940318264595</v>
      </c>
      <c r="J62" s="2">
        <f t="shared" si="2"/>
        <v>118</v>
      </c>
      <c r="K62" s="11">
        <f t="shared" si="3"/>
        <v>942.4988063652919</v>
      </c>
      <c r="L62" s="2">
        <f t="shared" si="4"/>
        <v>882</v>
      </c>
      <c r="M62" s="2">
        <f t="shared" si="5"/>
        <v>1877.4726027895554</v>
      </c>
      <c r="N62" s="2">
        <f t="shared" si="6"/>
        <v>75013.485561303765</v>
      </c>
    </row>
    <row r="63" spans="7:14" x14ac:dyDescent="0.25">
      <c r="G63" s="2">
        <v>60</v>
      </c>
      <c r="H63" s="2">
        <f t="shared" si="0"/>
        <v>-474.97368348151667</v>
      </c>
      <c r="I63" s="2">
        <f t="shared" si="1"/>
        <v>474.97368348151667</v>
      </c>
      <c r="J63" s="2">
        <f t="shared" si="2"/>
        <v>120</v>
      </c>
      <c r="K63" s="11">
        <f t="shared" si="3"/>
        <v>949.94736696303335</v>
      </c>
      <c r="L63" s="2">
        <f t="shared" si="4"/>
        <v>880</v>
      </c>
      <c r="M63" s="2">
        <f t="shared" si="5"/>
        <v>1892.4461733283251</v>
      </c>
      <c r="N63" s="2">
        <f t="shared" si="6"/>
        <v>76905.93173463209</v>
      </c>
    </row>
    <row r="64" spans="7:14" x14ac:dyDescent="0.25">
      <c r="G64" s="2">
        <v>61</v>
      </c>
      <c r="H64" s="2">
        <f t="shared" si="0"/>
        <v>-478.66063134542412</v>
      </c>
      <c r="I64" s="2">
        <f t="shared" si="1"/>
        <v>478.66063134542412</v>
      </c>
      <c r="J64" s="2">
        <f t="shared" si="2"/>
        <v>122</v>
      </c>
      <c r="K64" s="11">
        <f t="shared" si="3"/>
        <v>957.32126269084824</v>
      </c>
      <c r="L64" s="2">
        <f t="shared" si="4"/>
        <v>878</v>
      </c>
      <c r="M64" s="2">
        <f t="shared" si="5"/>
        <v>1907.2686296538816</v>
      </c>
      <c r="N64" s="2">
        <f t="shared" si="6"/>
        <v>78813.200364285978</v>
      </c>
    </row>
    <row r="65" spans="7:14" x14ac:dyDescent="0.25">
      <c r="G65" s="2">
        <v>62</v>
      </c>
      <c r="H65" s="2">
        <f t="shared" si="0"/>
        <v>-482.31110292009657</v>
      </c>
      <c r="I65" s="2">
        <f t="shared" si="1"/>
        <v>482.31110292009657</v>
      </c>
      <c r="J65" s="2">
        <f t="shared" si="2"/>
        <v>124</v>
      </c>
      <c r="K65" s="11">
        <f t="shared" si="3"/>
        <v>964.62220584019315</v>
      </c>
      <c r="L65" s="2">
        <f t="shared" si="4"/>
        <v>876</v>
      </c>
      <c r="M65" s="2">
        <f t="shared" si="5"/>
        <v>1921.9434685310414</v>
      </c>
      <c r="N65" s="2">
        <f t="shared" si="6"/>
        <v>80735.143832817019</v>
      </c>
    </row>
    <row r="66" spans="7:14" x14ac:dyDescent="0.25">
      <c r="G66" s="2">
        <v>63</v>
      </c>
      <c r="H66" s="2">
        <f t="shared" si="0"/>
        <v>-485.92592028003611</v>
      </c>
      <c r="I66" s="2">
        <f t="shared" si="1"/>
        <v>485.92592028003611</v>
      </c>
      <c r="J66" s="2">
        <f t="shared" si="2"/>
        <v>126</v>
      </c>
      <c r="K66" s="11">
        <f t="shared" si="3"/>
        <v>971.85184056007222</v>
      </c>
      <c r="L66" s="2">
        <f t="shared" si="4"/>
        <v>874</v>
      </c>
      <c r="M66" s="2">
        <f t="shared" si="5"/>
        <v>1936.4740464002653</v>
      </c>
      <c r="N66" s="2">
        <f t="shared" si="6"/>
        <v>82671.617879217287</v>
      </c>
    </row>
    <row r="67" spans="7:14" x14ac:dyDescent="0.25">
      <c r="G67" s="2">
        <v>64</v>
      </c>
      <c r="H67" s="2">
        <f t="shared" ref="H67:H130" si="8">IF(G67&lt;POC_BOD,-1*$K67/2,IF(G67=POC_BOD,0,NA()))</f>
        <v>-489.50587330490737</v>
      </c>
      <c r="I67" s="2">
        <f t="shared" ref="I67:I130" si="9">IF(G67&lt;=POC_BOD,$K67/2,IF(G67=POC_BOD,0,NA()))</f>
        <v>489.50587330490737</v>
      </c>
      <c r="J67" s="2">
        <f t="shared" ref="J67:J130" si="10">IF(G67&lt;=POC_BOD,DN_KRUH/POC_BOD*G67,"")</f>
        <v>128</v>
      </c>
      <c r="K67" s="11">
        <f t="shared" ref="K67:K130" si="11">IF(G67&lt;POC_BOD,2*POWER(POWER(R_KRUH,2)-POWER(ABS(J67-DN_KRUH/2),2),0.5),IF(G67=POC_BOD,0,""))</f>
        <v>979.01174660981474</v>
      </c>
      <c r="L67" s="2">
        <f t="shared" ref="L67:L130" si="12">IF(G67&lt;=POC_BOD,ABS(J67-DN_KRUH/2),IF(G67=POC_BOD,0,""))</f>
        <v>872</v>
      </c>
      <c r="M67" s="2">
        <f t="shared" si="5"/>
        <v>1950.8635871698871</v>
      </c>
      <c r="N67" s="2">
        <f t="shared" si="6"/>
        <v>84622.48146638718</v>
      </c>
    </row>
    <row r="68" spans="7:14" x14ac:dyDescent="0.25">
      <c r="G68" s="2">
        <v>65</v>
      </c>
      <c r="H68" s="2">
        <f t="shared" si="8"/>
        <v>-493.05172142484201</v>
      </c>
      <c r="I68" s="2">
        <f t="shared" si="9"/>
        <v>493.05172142484201</v>
      </c>
      <c r="J68" s="2">
        <f t="shared" si="10"/>
        <v>130</v>
      </c>
      <c r="K68" s="11">
        <f t="shared" si="11"/>
        <v>986.10344284968403</v>
      </c>
      <c r="L68" s="2">
        <f t="shared" si="12"/>
        <v>870</v>
      </c>
      <c r="M68" s="2">
        <f t="shared" ref="M68:M131" si="13">IF(G67&lt;=POC_BOD,(K67+K68)/2*(J68-J67),"")</f>
        <v>1965.1151894594987</v>
      </c>
      <c r="N68" s="2">
        <f t="shared" ref="N68:N131" si="14">IF(G67&lt;=POC_BOD,((K67+K68)/2*(J68-J67))+N67,"")</f>
        <v>86587.596655846675</v>
      </c>
    </row>
    <row r="69" spans="7:14" x14ac:dyDescent="0.25">
      <c r="G69" s="2">
        <v>66</v>
      </c>
      <c r="H69" s="2">
        <f t="shared" si="8"/>
        <v>-496.56419524569026</v>
      </c>
      <c r="I69" s="2">
        <f t="shared" si="9"/>
        <v>496.56419524569026</v>
      </c>
      <c r="J69" s="2">
        <f t="shared" si="10"/>
        <v>132</v>
      </c>
      <c r="K69" s="11">
        <f t="shared" si="11"/>
        <v>993.12839049138051</v>
      </c>
      <c r="L69" s="2">
        <f t="shared" si="12"/>
        <v>868</v>
      </c>
      <c r="M69" s="2">
        <f t="shared" si="13"/>
        <v>1979.2318333410644</v>
      </c>
      <c r="N69" s="2">
        <f t="shared" si="14"/>
        <v>88566.828489187741</v>
      </c>
    </row>
    <row r="70" spans="7:14" x14ac:dyDescent="0.25">
      <c r="G70" s="2">
        <v>67</v>
      </c>
      <c r="H70" s="2">
        <f t="shared" si="8"/>
        <v>-500.04399806417035</v>
      </c>
      <c r="I70" s="2">
        <f t="shared" si="9"/>
        <v>500.04399806417035</v>
      </c>
      <c r="J70" s="2">
        <f t="shared" si="10"/>
        <v>134</v>
      </c>
      <c r="K70" s="11">
        <f t="shared" si="11"/>
        <v>1000.0879961283407</v>
      </c>
      <c r="L70" s="2">
        <f t="shared" si="12"/>
        <v>866</v>
      </c>
      <c r="M70" s="2">
        <f t="shared" si="13"/>
        <v>1993.2163866197211</v>
      </c>
      <c r="N70" s="2">
        <f t="shared" si="14"/>
        <v>90560.044875807464</v>
      </c>
    </row>
    <row r="71" spans="7:14" x14ac:dyDescent="0.25">
      <c r="G71" s="2">
        <v>68</v>
      </c>
      <c r="H71" s="2">
        <f t="shared" si="8"/>
        <v>-503.49180728190601</v>
      </c>
      <c r="I71" s="2">
        <f t="shared" si="9"/>
        <v>503.49180728190601</v>
      </c>
      <c r="J71" s="2">
        <f t="shared" si="10"/>
        <v>136</v>
      </c>
      <c r="K71" s="11">
        <f t="shared" si="11"/>
        <v>1006.983614563812</v>
      </c>
      <c r="L71" s="2">
        <f t="shared" si="12"/>
        <v>864</v>
      </c>
      <c r="M71" s="2">
        <f t="shared" si="13"/>
        <v>2007.0716106921527</v>
      </c>
      <c r="N71" s="2">
        <f t="shared" si="14"/>
        <v>92567.11648649961</v>
      </c>
    </row>
    <row r="72" spans="7:14" x14ac:dyDescent="0.25">
      <c r="G72" s="2">
        <v>69</v>
      </c>
      <c r="H72" s="2">
        <f t="shared" si="8"/>
        <v>-506.90827572648681</v>
      </c>
      <c r="I72" s="2">
        <f t="shared" si="9"/>
        <v>506.90827572648681</v>
      </c>
      <c r="J72" s="2">
        <f t="shared" si="10"/>
        <v>138</v>
      </c>
      <c r="K72" s="11">
        <f t="shared" si="11"/>
        <v>1013.8165514529736</v>
      </c>
      <c r="L72" s="2">
        <f t="shared" si="12"/>
        <v>862</v>
      </c>
      <c r="M72" s="2">
        <f t="shared" si="13"/>
        <v>2020.8001660167856</v>
      </c>
      <c r="N72" s="2">
        <f t="shared" si="14"/>
        <v>94587.916652516389</v>
      </c>
    </row>
    <row r="73" spans="7:14" x14ac:dyDescent="0.25">
      <c r="G73" s="2">
        <v>70</v>
      </c>
      <c r="H73" s="2">
        <f t="shared" si="8"/>
        <v>-510.29403288692293</v>
      </c>
      <c r="I73" s="2">
        <f t="shared" si="9"/>
        <v>510.29403288692293</v>
      </c>
      <c r="J73" s="2">
        <f t="shared" si="10"/>
        <v>140</v>
      </c>
      <c r="K73" s="11">
        <f t="shared" si="11"/>
        <v>1020.5880657738459</v>
      </c>
      <c r="L73" s="2">
        <f t="shared" si="12"/>
        <v>860</v>
      </c>
      <c r="M73" s="2">
        <f t="shared" si="13"/>
        <v>2034.4046172268195</v>
      </c>
      <c r="N73" s="2">
        <f t="shared" si="14"/>
        <v>96622.321269743203</v>
      </c>
    </row>
    <row r="74" spans="7:14" x14ac:dyDescent="0.25">
      <c r="G74" s="2">
        <v>71</v>
      </c>
      <c r="H74" s="2">
        <f t="shared" si="8"/>
        <v>-513.64968607018534</v>
      </c>
      <c r="I74" s="2">
        <f t="shared" si="9"/>
        <v>513.64968607018534</v>
      </c>
      <c r="J74" s="2">
        <f t="shared" si="10"/>
        <v>142</v>
      </c>
      <c r="K74" s="11">
        <f t="shared" si="11"/>
        <v>1027.2993721403707</v>
      </c>
      <c r="L74" s="2">
        <f t="shared" si="12"/>
        <v>858</v>
      </c>
      <c r="M74" s="2">
        <f t="shared" si="13"/>
        <v>2047.8874379142167</v>
      </c>
      <c r="N74" s="2">
        <f t="shared" si="14"/>
        <v>98670.208707657424</v>
      </c>
    </row>
    <row r="75" spans="7:14" x14ac:dyDescent="0.25">
      <c r="G75" s="2">
        <v>72</v>
      </c>
      <c r="H75" s="2">
        <f t="shared" si="8"/>
        <v>-516.97582148491233</v>
      </c>
      <c r="I75" s="2">
        <f t="shared" si="9"/>
        <v>516.97582148491233</v>
      </c>
      <c r="J75" s="2">
        <f t="shared" si="10"/>
        <v>144</v>
      </c>
      <c r="K75" s="11">
        <f t="shared" si="11"/>
        <v>1033.9516429698247</v>
      </c>
      <c r="L75" s="2">
        <f t="shared" si="12"/>
        <v>856</v>
      </c>
      <c r="M75" s="2">
        <f t="shared" si="13"/>
        <v>2061.2510151101951</v>
      </c>
      <c r="N75" s="2">
        <f t="shared" si="14"/>
        <v>100731.45972276761</v>
      </c>
    </row>
    <row r="76" spans="7:14" x14ac:dyDescent="0.25">
      <c r="G76" s="2">
        <v>73</v>
      </c>
      <c r="H76" s="2">
        <f t="shared" si="8"/>
        <v>-520.27300525781652</v>
      </c>
      <c r="I76" s="2">
        <f t="shared" si="9"/>
        <v>520.27300525781652</v>
      </c>
      <c r="J76" s="2">
        <f t="shared" si="10"/>
        <v>146</v>
      </c>
      <c r="K76" s="11">
        <f t="shared" si="11"/>
        <v>1040.546010515633</v>
      </c>
      <c r="L76" s="2">
        <f t="shared" si="12"/>
        <v>854</v>
      </c>
      <c r="M76" s="2">
        <f t="shared" si="13"/>
        <v>2074.4976534854577</v>
      </c>
      <c r="N76" s="2">
        <f t="shared" si="14"/>
        <v>102805.95737625306</v>
      </c>
    </row>
    <row r="77" spans="7:14" x14ac:dyDescent="0.25">
      <c r="G77" s="2">
        <v>74</v>
      </c>
      <c r="H77" s="2">
        <f t="shared" si="8"/>
        <v>-523.54178438783663</v>
      </c>
      <c r="I77" s="2">
        <f t="shared" si="9"/>
        <v>523.54178438783663</v>
      </c>
      <c r="J77" s="2">
        <f t="shared" si="10"/>
        <v>148</v>
      </c>
      <c r="K77" s="11">
        <f t="shared" si="11"/>
        <v>1047.0835687756733</v>
      </c>
      <c r="L77" s="2">
        <f t="shared" si="12"/>
        <v>852</v>
      </c>
      <c r="M77" s="2">
        <f t="shared" si="13"/>
        <v>2087.6295792913061</v>
      </c>
      <c r="N77" s="2">
        <f t="shared" si="14"/>
        <v>104893.58695554436</v>
      </c>
    </row>
    <row r="78" spans="7:14" x14ac:dyDescent="0.25">
      <c r="G78" s="2">
        <v>75</v>
      </c>
      <c r="H78" s="2">
        <f t="shared" si="8"/>
        <v>-526.78268764263692</v>
      </c>
      <c r="I78" s="2">
        <f t="shared" si="9"/>
        <v>526.78268764263692</v>
      </c>
      <c r="J78" s="2">
        <f t="shared" si="10"/>
        <v>150</v>
      </c>
      <c r="K78" s="11">
        <f t="shared" si="11"/>
        <v>1053.5653752852738</v>
      </c>
      <c r="L78" s="2">
        <f t="shared" si="12"/>
        <v>850</v>
      </c>
      <c r="M78" s="2">
        <f t="shared" si="13"/>
        <v>2100.6489440609471</v>
      </c>
      <c r="N78" s="2">
        <f t="shared" si="14"/>
        <v>106994.23589960531</v>
      </c>
    </row>
    <row r="79" spans="7:14" x14ac:dyDescent="0.25">
      <c r="G79" s="2">
        <v>76</v>
      </c>
      <c r="H79" s="2">
        <f t="shared" si="8"/>
        <v>-529.99622640166035</v>
      </c>
      <c r="I79" s="2">
        <f t="shared" si="9"/>
        <v>529.99622640166035</v>
      </c>
      <c r="J79" s="2">
        <f t="shared" si="10"/>
        <v>152</v>
      </c>
      <c r="K79" s="11">
        <f t="shared" si="11"/>
        <v>1059.9924528033207</v>
      </c>
      <c r="L79" s="2">
        <f t="shared" si="12"/>
        <v>848</v>
      </c>
      <c r="M79" s="2">
        <f t="shared" si="13"/>
        <v>2113.5578280885948</v>
      </c>
      <c r="N79" s="2">
        <f t="shared" si="14"/>
        <v>109107.7937276939</v>
      </c>
    </row>
    <row r="80" spans="7:14" x14ac:dyDescent="0.25">
      <c r="G80" s="2">
        <v>77</v>
      </c>
      <c r="H80" s="2">
        <f t="shared" si="8"/>
        <v>-533.18289544958213</v>
      </c>
      <c r="I80" s="2">
        <f t="shared" si="9"/>
        <v>533.18289544958213</v>
      </c>
      <c r="J80" s="2">
        <f t="shared" si="10"/>
        <v>154</v>
      </c>
      <c r="K80" s="11">
        <f t="shared" si="11"/>
        <v>1066.3657908991643</v>
      </c>
      <c r="L80" s="2">
        <f t="shared" si="12"/>
        <v>846</v>
      </c>
      <c r="M80" s="2">
        <f t="shared" si="13"/>
        <v>2126.3582437024852</v>
      </c>
      <c r="N80" s="2">
        <f t="shared" si="14"/>
        <v>111234.15197139639</v>
      </c>
    </row>
    <row r="81" spans="7:14" x14ac:dyDescent="0.25">
      <c r="G81" s="2">
        <v>78</v>
      </c>
      <c r="H81" s="2">
        <f t="shared" si="8"/>
        <v>-536.34317372368969</v>
      </c>
      <c r="I81" s="2">
        <f t="shared" si="9"/>
        <v>536.34317372368969</v>
      </c>
      <c r="J81" s="2">
        <f t="shared" si="10"/>
        <v>156</v>
      </c>
      <c r="K81" s="11">
        <f t="shared" si="11"/>
        <v>1072.6863474473794</v>
      </c>
      <c r="L81" s="2">
        <f t="shared" si="12"/>
        <v>844</v>
      </c>
      <c r="M81" s="2">
        <f t="shared" si="13"/>
        <v>2139.0521383465439</v>
      </c>
      <c r="N81" s="2">
        <f t="shared" si="14"/>
        <v>113373.20410974293</v>
      </c>
    </row>
    <row r="82" spans="7:14" x14ac:dyDescent="0.25">
      <c r="G82" s="2">
        <v>79</v>
      </c>
      <c r="H82" s="2">
        <f t="shared" si="8"/>
        <v>-539.47752501842001</v>
      </c>
      <c r="I82" s="2">
        <f t="shared" si="9"/>
        <v>539.47752501842001</v>
      </c>
      <c r="J82" s="2">
        <f t="shared" si="10"/>
        <v>158</v>
      </c>
      <c r="K82" s="11">
        <f t="shared" si="11"/>
        <v>1078.95505003684</v>
      </c>
      <c r="L82" s="2">
        <f t="shared" si="12"/>
        <v>842</v>
      </c>
      <c r="M82" s="2">
        <f t="shared" si="13"/>
        <v>2151.6413974842194</v>
      </c>
      <c r="N82" s="2">
        <f t="shared" si="14"/>
        <v>115524.84550722715</v>
      </c>
    </row>
    <row r="83" spans="7:14" x14ac:dyDescent="0.25">
      <c r="G83" s="2">
        <v>80</v>
      </c>
      <c r="H83" s="2">
        <f t="shared" si="8"/>
        <v>-542.58639865002147</v>
      </c>
      <c r="I83" s="2">
        <f t="shared" si="9"/>
        <v>542.58639865002147</v>
      </c>
      <c r="J83" s="2">
        <f t="shared" si="10"/>
        <v>160</v>
      </c>
      <c r="K83" s="11">
        <f t="shared" si="11"/>
        <v>1085.1727973000429</v>
      </c>
      <c r="L83" s="2">
        <f t="shared" si="12"/>
        <v>840</v>
      </c>
      <c r="M83" s="2">
        <f t="shared" si="13"/>
        <v>2164.127847336883</v>
      </c>
      <c r="N83" s="2">
        <f t="shared" si="14"/>
        <v>117688.97335456403</v>
      </c>
    </row>
    <row r="84" spans="7:14" x14ac:dyDescent="0.25">
      <c r="G84" s="2">
        <v>81</v>
      </c>
      <c r="H84" s="2">
        <f t="shared" si="8"/>
        <v>-545.67023008406829</v>
      </c>
      <c r="I84" s="2">
        <f t="shared" si="9"/>
        <v>545.67023008406829</v>
      </c>
      <c r="J84" s="2">
        <f t="shared" si="10"/>
        <v>162</v>
      </c>
      <c r="K84" s="11">
        <f t="shared" si="11"/>
        <v>1091.3404601681366</v>
      </c>
      <c r="L84" s="2">
        <f t="shared" si="12"/>
        <v>838</v>
      </c>
      <c r="M84" s="2">
        <f t="shared" si="13"/>
        <v>2176.5132574681793</v>
      </c>
      <c r="N84" s="2">
        <f t="shared" si="14"/>
        <v>119865.48661203221</v>
      </c>
    </row>
    <row r="85" spans="7:14" x14ac:dyDescent="0.25">
      <c r="G85" s="2">
        <v>82</v>
      </c>
      <c r="H85" s="2">
        <f t="shared" si="8"/>
        <v>-548.72944152833645</v>
      </c>
      <c r="I85" s="2">
        <f t="shared" si="9"/>
        <v>548.72944152833645</v>
      </c>
      <c r="J85" s="2">
        <f t="shared" si="10"/>
        <v>164</v>
      </c>
      <c r="K85" s="11">
        <f t="shared" si="11"/>
        <v>1097.4588830566729</v>
      </c>
      <c r="L85" s="2">
        <f t="shared" si="12"/>
        <v>836</v>
      </c>
      <c r="M85" s="2">
        <f t="shared" si="13"/>
        <v>2188.7993432248095</v>
      </c>
      <c r="N85" s="2">
        <f t="shared" si="14"/>
        <v>122054.28595525702</v>
      </c>
    </row>
    <row r="86" spans="7:14" x14ac:dyDescent="0.25">
      <c r="G86" s="2">
        <v>83</v>
      </c>
      <c r="H86" s="2">
        <f t="shared" si="8"/>
        <v>-551.76444249335236</v>
      </c>
      <c r="I86" s="2">
        <f t="shared" si="9"/>
        <v>551.76444249335236</v>
      </c>
      <c r="J86" s="2">
        <f t="shared" si="10"/>
        <v>166</v>
      </c>
      <c r="K86" s="11">
        <f t="shared" si="11"/>
        <v>1103.5288849867047</v>
      </c>
      <c r="L86" s="2">
        <f t="shared" si="12"/>
        <v>834</v>
      </c>
      <c r="M86" s="2">
        <f t="shared" si="13"/>
        <v>2200.9877680433774</v>
      </c>
      <c r="N86" s="2">
        <f t="shared" si="14"/>
        <v>124255.27372330039</v>
      </c>
    </row>
    <row r="87" spans="7:14" x14ac:dyDescent="0.25">
      <c r="G87" s="2">
        <v>84</v>
      </c>
      <c r="H87" s="2">
        <f t="shared" si="8"/>
        <v>-554.77563032274588</v>
      </c>
      <c r="I87" s="2">
        <f t="shared" si="9"/>
        <v>554.77563032274588</v>
      </c>
      <c r="J87" s="2">
        <f t="shared" si="10"/>
        <v>168</v>
      </c>
      <c r="K87" s="11">
        <f t="shared" si="11"/>
        <v>1109.5512606454918</v>
      </c>
      <c r="L87" s="2">
        <f t="shared" si="12"/>
        <v>832</v>
      </c>
      <c r="M87" s="2">
        <f t="shared" si="13"/>
        <v>2213.0801456321965</v>
      </c>
      <c r="N87" s="2">
        <f t="shared" si="14"/>
        <v>126468.35386893258</v>
      </c>
    </row>
    <row r="88" spans="7:14" x14ac:dyDescent="0.25">
      <c r="G88" s="2">
        <v>85</v>
      </c>
      <c r="H88" s="2">
        <f t="shared" si="8"/>
        <v>-557.76339069537357</v>
      </c>
      <c r="I88" s="2">
        <f t="shared" si="9"/>
        <v>557.76339069537357</v>
      </c>
      <c r="J88" s="2">
        <f t="shared" si="10"/>
        <v>170</v>
      </c>
      <c r="K88" s="11">
        <f t="shared" si="11"/>
        <v>1115.5267813907471</v>
      </c>
      <c r="L88" s="2">
        <f t="shared" si="12"/>
        <v>830</v>
      </c>
      <c r="M88" s="2">
        <f t="shared" si="13"/>
        <v>2225.0780420362389</v>
      </c>
      <c r="N88" s="2">
        <f t="shared" si="14"/>
        <v>128693.43191096882</v>
      </c>
    </row>
    <row r="89" spans="7:14" x14ac:dyDescent="0.25">
      <c r="G89" s="2">
        <v>86</v>
      </c>
      <c r="H89" s="2">
        <f t="shared" si="8"/>
        <v>-560.72809810103149</v>
      </c>
      <c r="I89" s="2">
        <f t="shared" si="9"/>
        <v>560.72809810103149</v>
      </c>
      <c r="J89" s="2">
        <f t="shared" si="10"/>
        <v>172</v>
      </c>
      <c r="K89" s="11">
        <f t="shared" si="11"/>
        <v>1121.456196202063</v>
      </c>
      <c r="L89" s="2">
        <f t="shared" si="12"/>
        <v>828</v>
      </c>
      <c r="M89" s="2">
        <f t="shared" si="13"/>
        <v>2236.9829775928101</v>
      </c>
      <c r="N89" s="2">
        <f t="shared" si="14"/>
        <v>130930.41488856163</v>
      </c>
    </row>
    <row r="90" spans="7:14" x14ac:dyDescent="0.25">
      <c r="G90" s="2">
        <v>87</v>
      </c>
      <c r="H90" s="2">
        <f t="shared" si="8"/>
        <v>-563.67011629143508</v>
      </c>
      <c r="I90" s="2">
        <f t="shared" si="9"/>
        <v>563.67011629143508</v>
      </c>
      <c r="J90" s="2">
        <f t="shared" si="10"/>
        <v>174</v>
      </c>
      <c r="K90" s="11">
        <f t="shared" si="11"/>
        <v>1127.3402325828702</v>
      </c>
      <c r="L90" s="2">
        <f t="shared" si="12"/>
        <v>826</v>
      </c>
      <c r="M90" s="2">
        <f t="shared" si="13"/>
        <v>2248.7964287849331</v>
      </c>
      <c r="N90" s="2">
        <f t="shared" si="14"/>
        <v>133179.21131734658</v>
      </c>
    </row>
    <row r="91" spans="7:14" x14ac:dyDescent="0.25">
      <c r="G91" s="2">
        <v>88</v>
      </c>
      <c r="H91" s="2">
        <f t="shared" si="8"/>
        <v>-566.58979870802477</v>
      </c>
      <c r="I91" s="2">
        <f t="shared" si="9"/>
        <v>566.58979870802477</v>
      </c>
      <c r="J91" s="2">
        <f t="shared" si="10"/>
        <v>176</v>
      </c>
      <c r="K91" s="11">
        <f t="shared" si="11"/>
        <v>1133.1795974160495</v>
      </c>
      <c r="L91" s="2">
        <f t="shared" si="12"/>
        <v>824</v>
      </c>
      <c r="M91" s="2">
        <f t="shared" si="13"/>
        <v>2260.5198299989197</v>
      </c>
      <c r="N91" s="2">
        <f t="shared" si="14"/>
        <v>135439.7311473455</v>
      </c>
    </row>
    <row r="92" spans="7:14" x14ac:dyDescent="0.25">
      <c r="G92" s="2">
        <v>89</v>
      </c>
      <c r="H92" s="2">
        <f t="shared" si="8"/>
        <v>-569.48748888803516</v>
      </c>
      <c r="I92" s="2">
        <f t="shared" si="9"/>
        <v>569.48748888803516</v>
      </c>
      <c r="J92" s="2">
        <f t="shared" si="10"/>
        <v>178</v>
      </c>
      <c r="K92" s="11">
        <f t="shared" si="11"/>
        <v>1138.9749777760703</v>
      </c>
      <c r="L92" s="2">
        <f t="shared" si="12"/>
        <v>822</v>
      </c>
      <c r="M92" s="2">
        <f t="shared" si="13"/>
        <v>2272.1545751921199</v>
      </c>
      <c r="N92" s="2">
        <f t="shared" si="14"/>
        <v>137711.88572253761</v>
      </c>
    </row>
    <row r="93" spans="7:14" x14ac:dyDescent="0.25">
      <c r="G93" s="2">
        <v>90</v>
      </c>
      <c r="H93" s="2">
        <f t="shared" si="8"/>
        <v>-572.36352085016733</v>
      </c>
      <c r="I93" s="2">
        <f t="shared" si="9"/>
        <v>572.36352085016733</v>
      </c>
      <c r="J93" s="2">
        <f t="shared" si="10"/>
        <v>180</v>
      </c>
      <c r="K93" s="11">
        <f t="shared" si="11"/>
        <v>1144.7270417003347</v>
      </c>
      <c r="L93" s="2">
        <f t="shared" si="12"/>
        <v>820</v>
      </c>
      <c r="M93" s="2">
        <f t="shared" si="13"/>
        <v>2283.702019476405</v>
      </c>
      <c r="N93" s="2">
        <f t="shared" si="14"/>
        <v>139995.58774201403</v>
      </c>
    </row>
    <row r="94" spans="7:14" x14ac:dyDescent="0.25">
      <c r="G94" s="2">
        <v>91</v>
      </c>
      <c r="H94" s="2">
        <f t="shared" si="8"/>
        <v>-575.21821946110151</v>
      </c>
      <c r="I94" s="2">
        <f t="shared" si="9"/>
        <v>575.21821946110151</v>
      </c>
      <c r="J94" s="2">
        <f t="shared" si="10"/>
        <v>182</v>
      </c>
      <c r="K94" s="11">
        <f t="shared" si="11"/>
        <v>1150.436438922203</v>
      </c>
      <c r="L94" s="2">
        <f t="shared" si="12"/>
        <v>818</v>
      </c>
      <c r="M94" s="2">
        <f t="shared" si="13"/>
        <v>2295.1634806225375</v>
      </c>
      <c r="N94" s="2">
        <f t="shared" si="14"/>
        <v>142290.75122263658</v>
      </c>
    </row>
    <row r="95" spans="7:14" x14ac:dyDescent="0.25">
      <c r="G95" s="2">
        <v>92</v>
      </c>
      <c r="H95" s="2">
        <f t="shared" si="8"/>
        <v>-578.05190078400403</v>
      </c>
      <c r="I95" s="2">
        <f t="shared" si="9"/>
        <v>578.05190078400403</v>
      </c>
      <c r="J95" s="2">
        <f t="shared" si="10"/>
        <v>184</v>
      </c>
      <c r="K95" s="11">
        <f t="shared" si="11"/>
        <v>1156.1038015680081</v>
      </c>
      <c r="L95" s="2">
        <f t="shared" si="12"/>
        <v>816</v>
      </c>
      <c r="M95" s="2">
        <f t="shared" si="13"/>
        <v>2306.5402404902111</v>
      </c>
      <c r="N95" s="2">
        <f t="shared" si="14"/>
        <v>144597.29146312678</v>
      </c>
    </row>
    <row r="96" spans="7:14" x14ac:dyDescent="0.25">
      <c r="G96" s="2">
        <v>93</v>
      </c>
      <c r="H96" s="2">
        <f t="shared" si="8"/>
        <v>-580.86487241009854</v>
      </c>
      <c r="I96" s="2">
        <f t="shared" si="9"/>
        <v>580.86487241009854</v>
      </c>
      <c r="J96" s="2">
        <f t="shared" si="10"/>
        <v>186</v>
      </c>
      <c r="K96" s="11">
        <f t="shared" si="11"/>
        <v>1161.7297448201971</v>
      </c>
      <c r="L96" s="2">
        <f t="shared" si="12"/>
        <v>814</v>
      </c>
      <c r="M96" s="2">
        <f t="shared" si="13"/>
        <v>2317.8335463882049</v>
      </c>
      <c r="N96" s="2">
        <f t="shared" si="14"/>
        <v>146915.12500951497</v>
      </c>
    </row>
    <row r="97" spans="7:14" x14ac:dyDescent="0.25">
      <c r="G97" s="2">
        <v>94</v>
      </c>
      <c r="H97" s="2">
        <f t="shared" si="8"/>
        <v>-583.65743377429885</v>
      </c>
      <c r="I97" s="2">
        <f t="shared" si="9"/>
        <v>583.65743377429885</v>
      </c>
      <c r="J97" s="2">
        <f t="shared" si="10"/>
        <v>188</v>
      </c>
      <c r="K97" s="11">
        <f t="shared" si="11"/>
        <v>1167.3148675485977</v>
      </c>
      <c r="L97" s="2">
        <f t="shared" si="12"/>
        <v>812</v>
      </c>
      <c r="M97" s="2">
        <f t="shared" si="13"/>
        <v>2329.0446123687948</v>
      </c>
      <c r="N97" s="2">
        <f t="shared" si="14"/>
        <v>149244.16962188378</v>
      </c>
    </row>
    <row r="98" spans="7:14" x14ac:dyDescent="0.25">
      <c r="G98" s="2">
        <v>95</v>
      </c>
      <c r="H98" s="2">
        <f t="shared" si="8"/>
        <v>-586.42987645582991</v>
      </c>
      <c r="I98" s="2">
        <f t="shared" si="9"/>
        <v>586.42987645582991</v>
      </c>
      <c r="J98" s="2">
        <f t="shared" si="10"/>
        <v>190</v>
      </c>
      <c r="K98" s="11">
        <f t="shared" si="11"/>
        <v>1172.8597529116598</v>
      </c>
      <c r="L98" s="2">
        <f t="shared" si="12"/>
        <v>810</v>
      </c>
      <c r="M98" s="2">
        <f t="shared" si="13"/>
        <v>2340.1746204602578</v>
      </c>
      <c r="N98" s="2">
        <f t="shared" si="14"/>
        <v>151584.34424234403</v>
      </c>
    </row>
    <row r="99" spans="7:14" x14ac:dyDescent="0.25">
      <c r="G99" s="2">
        <v>96</v>
      </c>
      <c r="H99" s="2">
        <f t="shared" si="8"/>
        <v>-589.18248446470295</v>
      </c>
      <c r="I99" s="2">
        <f t="shared" si="9"/>
        <v>589.18248446470295</v>
      </c>
      <c r="J99" s="2">
        <f t="shared" si="10"/>
        <v>192</v>
      </c>
      <c r="K99" s="11">
        <f t="shared" si="11"/>
        <v>1178.3649689294059</v>
      </c>
      <c r="L99" s="2">
        <f t="shared" si="12"/>
        <v>808</v>
      </c>
      <c r="M99" s="2">
        <f t="shared" si="13"/>
        <v>2351.2247218410657</v>
      </c>
      <c r="N99" s="2">
        <f t="shared" si="14"/>
        <v>153935.56896418511</v>
      </c>
    </row>
    <row r="100" spans="7:14" x14ac:dyDescent="0.25">
      <c r="G100" s="2">
        <v>97</v>
      </c>
      <c r="H100" s="2">
        <f t="shared" si="8"/>
        <v>-591.91553451484947</v>
      </c>
      <c r="I100" s="2">
        <f t="shared" si="9"/>
        <v>591.91553451484947</v>
      </c>
      <c r="J100" s="2">
        <f t="shared" si="10"/>
        <v>194</v>
      </c>
      <c r="K100" s="11">
        <f t="shared" si="11"/>
        <v>1183.8310690296989</v>
      </c>
      <c r="L100" s="2">
        <f t="shared" si="12"/>
        <v>806</v>
      </c>
      <c r="M100" s="2">
        <f t="shared" si="13"/>
        <v>2362.1960379591046</v>
      </c>
      <c r="N100" s="2">
        <f t="shared" si="14"/>
        <v>156297.76500214421</v>
      </c>
    </row>
    <row r="101" spans="7:14" x14ac:dyDescent="0.25">
      <c r="G101" s="2">
        <v>98</v>
      </c>
      <c r="H101" s="2">
        <f t="shared" si="8"/>
        <v>-594.62929628466838</v>
      </c>
      <c r="I101" s="2">
        <f t="shared" si="9"/>
        <v>594.62929628466838</v>
      </c>
      <c r="J101" s="2">
        <f t="shared" si="10"/>
        <v>196</v>
      </c>
      <c r="K101" s="11">
        <f t="shared" si="11"/>
        <v>1189.2585925693368</v>
      </c>
      <c r="L101" s="2">
        <f t="shared" si="12"/>
        <v>804</v>
      </c>
      <c r="M101" s="2">
        <f t="shared" si="13"/>
        <v>2373.0896615990359</v>
      </c>
      <c r="N101" s="2">
        <f t="shared" si="14"/>
        <v>158670.85466374326</v>
      </c>
    </row>
    <row r="102" spans="7:14" x14ac:dyDescent="0.25">
      <c r="G102" s="2">
        <v>99</v>
      </c>
      <c r="H102" s="2">
        <f t="shared" si="8"/>
        <v>-597.32403266568804</v>
      </c>
      <c r="I102" s="2">
        <f t="shared" si="9"/>
        <v>597.32403266568804</v>
      </c>
      <c r="J102" s="2">
        <f t="shared" si="10"/>
        <v>198</v>
      </c>
      <c r="K102" s="11">
        <f t="shared" si="11"/>
        <v>1194.6480653313761</v>
      </c>
      <c r="L102" s="2">
        <f t="shared" si="12"/>
        <v>802</v>
      </c>
      <c r="M102" s="2">
        <f t="shared" si="13"/>
        <v>2383.9066579007131</v>
      </c>
      <c r="N102" s="2">
        <f t="shared" si="14"/>
        <v>161054.76132164398</v>
      </c>
    </row>
    <row r="103" spans="7:14" x14ac:dyDescent="0.25">
      <c r="G103" s="2">
        <v>100</v>
      </c>
      <c r="H103" s="2">
        <f t="shared" si="8"/>
        <v>-600</v>
      </c>
      <c r="I103" s="2">
        <f t="shared" si="9"/>
        <v>600</v>
      </c>
      <c r="J103" s="2">
        <f t="shared" si="10"/>
        <v>200</v>
      </c>
      <c r="K103" s="11">
        <f t="shared" si="11"/>
        <v>1200</v>
      </c>
      <c r="L103" s="2">
        <f t="shared" si="12"/>
        <v>800</v>
      </c>
      <c r="M103" s="2">
        <f t="shared" si="13"/>
        <v>2394.6480653313761</v>
      </c>
      <c r="N103" s="2">
        <f t="shared" si="14"/>
        <v>163449.40938697534</v>
      </c>
    </row>
    <row r="104" spans="7:14" x14ac:dyDescent="0.25">
      <c r="G104" s="2">
        <v>101</v>
      </c>
      <c r="H104" s="2">
        <f t="shared" si="8"/>
        <v>-602.65744830707933</v>
      </c>
      <c r="I104" s="2">
        <f t="shared" si="9"/>
        <v>602.65744830707933</v>
      </c>
      <c r="J104" s="2">
        <f t="shared" si="10"/>
        <v>202</v>
      </c>
      <c r="K104" s="11">
        <f t="shared" si="11"/>
        <v>1205.3148966141587</v>
      </c>
      <c r="L104" s="2">
        <f t="shared" si="12"/>
        <v>798</v>
      </c>
      <c r="M104" s="2">
        <f t="shared" si="13"/>
        <v>2405.3148966141589</v>
      </c>
      <c r="N104" s="2">
        <f t="shared" si="14"/>
        <v>165854.72428358949</v>
      </c>
    </row>
    <row r="105" spans="7:14" x14ac:dyDescent="0.25">
      <c r="G105" s="2">
        <v>102</v>
      </c>
      <c r="H105" s="2">
        <f t="shared" si="8"/>
        <v>-605.2966215005664</v>
      </c>
      <c r="I105" s="2">
        <f t="shared" si="9"/>
        <v>605.2966215005664</v>
      </c>
      <c r="J105" s="2">
        <f t="shared" si="10"/>
        <v>204</v>
      </c>
      <c r="K105" s="11">
        <f t="shared" si="11"/>
        <v>1210.5932430011328</v>
      </c>
      <c r="L105" s="2">
        <f t="shared" si="12"/>
        <v>796</v>
      </c>
      <c r="M105" s="2">
        <f t="shared" si="13"/>
        <v>2415.9081396152915</v>
      </c>
      <c r="N105" s="2">
        <f t="shared" si="14"/>
        <v>168270.63242320478</v>
      </c>
    </row>
    <row r="106" spans="7:14" x14ac:dyDescent="0.25">
      <c r="G106" s="2">
        <v>103</v>
      </c>
      <c r="H106" s="2">
        <f t="shared" si="8"/>
        <v>-607.91775759554844</v>
      </c>
      <c r="I106" s="2">
        <f t="shared" si="9"/>
        <v>607.91775759554844</v>
      </c>
      <c r="J106" s="2">
        <f t="shared" si="10"/>
        <v>206</v>
      </c>
      <c r="K106" s="11">
        <f t="shared" si="11"/>
        <v>1215.8355151910969</v>
      </c>
      <c r="L106" s="2">
        <f t="shared" si="12"/>
        <v>794</v>
      </c>
      <c r="M106" s="2">
        <f t="shared" si="13"/>
        <v>2426.4287581922299</v>
      </c>
      <c r="N106" s="2">
        <f t="shared" si="14"/>
        <v>170697.061181397</v>
      </c>
    </row>
    <row r="107" spans="7:14" x14ac:dyDescent="0.25">
      <c r="G107" s="2">
        <v>104</v>
      </c>
      <c r="H107" s="2">
        <f t="shared" si="8"/>
        <v>-610.52108890684519</v>
      </c>
      <c r="I107" s="2">
        <f t="shared" si="9"/>
        <v>610.52108890684519</v>
      </c>
      <c r="J107" s="2">
        <f t="shared" si="10"/>
        <v>208</v>
      </c>
      <c r="K107" s="11">
        <f t="shared" si="11"/>
        <v>1221.0421778136904</v>
      </c>
      <c r="L107" s="2">
        <f t="shared" si="12"/>
        <v>792</v>
      </c>
      <c r="M107" s="2">
        <f t="shared" si="13"/>
        <v>2436.877693004787</v>
      </c>
      <c r="N107" s="2">
        <f t="shared" si="14"/>
        <v>173133.93887440179</v>
      </c>
    </row>
    <row r="108" spans="7:14" x14ac:dyDescent="0.25">
      <c r="G108" s="2">
        <v>105</v>
      </c>
      <c r="H108" s="2">
        <f t="shared" si="8"/>
        <v>-613.10684223877331</v>
      </c>
      <c r="I108" s="2">
        <f t="shared" si="9"/>
        <v>613.10684223877331</v>
      </c>
      <c r="J108" s="2">
        <f t="shared" si="10"/>
        <v>210</v>
      </c>
      <c r="K108" s="11">
        <f t="shared" si="11"/>
        <v>1226.2136844775466</v>
      </c>
      <c r="L108" s="2">
        <f t="shared" si="12"/>
        <v>790</v>
      </c>
      <c r="M108" s="2">
        <f t="shared" si="13"/>
        <v>2447.255862291237</v>
      </c>
      <c r="N108" s="2">
        <f t="shared" si="14"/>
        <v>175581.19473669303</v>
      </c>
    </row>
    <row r="109" spans="7:14" x14ac:dyDescent="0.25">
      <c r="G109" s="2">
        <v>106</v>
      </c>
      <c r="H109" s="2">
        <f t="shared" si="8"/>
        <v>-615.67523906683141</v>
      </c>
      <c r="I109" s="2">
        <f t="shared" si="9"/>
        <v>615.67523906683141</v>
      </c>
      <c r="J109" s="2">
        <f t="shared" si="10"/>
        <v>212</v>
      </c>
      <c r="K109" s="11">
        <f t="shared" si="11"/>
        <v>1231.3504781336628</v>
      </c>
      <c r="L109" s="2">
        <f t="shared" si="12"/>
        <v>788</v>
      </c>
      <c r="M109" s="2">
        <f t="shared" si="13"/>
        <v>2457.5641626112092</v>
      </c>
      <c r="N109" s="2">
        <f t="shared" si="14"/>
        <v>178038.75889930423</v>
      </c>
    </row>
    <row r="110" spans="7:14" x14ac:dyDescent="0.25">
      <c r="G110" s="2">
        <v>107</v>
      </c>
      <c r="H110" s="2">
        <f t="shared" si="8"/>
        <v>-618.22649571172542</v>
      </c>
      <c r="I110" s="2">
        <f t="shared" si="9"/>
        <v>618.22649571172542</v>
      </c>
      <c r="J110" s="2">
        <f t="shared" si="10"/>
        <v>214</v>
      </c>
      <c r="K110" s="11">
        <f t="shared" si="11"/>
        <v>1236.4529914234508</v>
      </c>
      <c r="L110" s="2">
        <f t="shared" si="12"/>
        <v>786</v>
      </c>
      <c r="M110" s="2">
        <f t="shared" si="13"/>
        <v>2467.8034695571137</v>
      </c>
      <c r="N110" s="2">
        <f t="shared" si="14"/>
        <v>180506.56236886134</v>
      </c>
    </row>
    <row r="111" spans="7:14" x14ac:dyDescent="0.25">
      <c r="G111" s="2">
        <v>108</v>
      </c>
      <c r="H111" s="2">
        <f t="shared" si="8"/>
        <v>-620.76082350612296</v>
      </c>
      <c r="I111" s="2">
        <f t="shared" si="9"/>
        <v>620.76082350612296</v>
      </c>
      <c r="J111" s="2">
        <f t="shared" si="10"/>
        <v>216</v>
      </c>
      <c r="K111" s="11">
        <f t="shared" si="11"/>
        <v>1241.5216470122459</v>
      </c>
      <c r="L111" s="2">
        <f t="shared" si="12"/>
        <v>784</v>
      </c>
      <c r="M111" s="2">
        <f t="shared" si="13"/>
        <v>2477.9746384356968</v>
      </c>
      <c r="N111" s="2">
        <f t="shared" si="14"/>
        <v>182984.53700729704</v>
      </c>
    </row>
    <row r="112" spans="7:14" x14ac:dyDescent="0.25">
      <c r="G112" s="2">
        <v>109</v>
      </c>
      <c r="H112" s="2">
        <f t="shared" si="8"/>
        <v>-623.27842895450829</v>
      </c>
      <c r="I112" s="2">
        <f t="shared" si="9"/>
        <v>623.27842895450829</v>
      </c>
      <c r="J112" s="2">
        <f t="shared" si="10"/>
        <v>218</v>
      </c>
      <c r="K112" s="11">
        <f t="shared" si="11"/>
        <v>1246.5568579090166</v>
      </c>
      <c r="L112" s="2">
        <f t="shared" si="12"/>
        <v>782</v>
      </c>
      <c r="M112" s="2">
        <f t="shared" si="13"/>
        <v>2488.0785049212627</v>
      </c>
      <c r="N112" s="2">
        <f t="shared" si="14"/>
        <v>185472.6155122183</v>
      </c>
    </row>
    <row r="113" spans="7:14" x14ac:dyDescent="0.25">
      <c r="G113" s="2">
        <v>110</v>
      </c>
      <c r="H113" s="2">
        <f t="shared" si="8"/>
        <v>-625.77951388648057</v>
      </c>
      <c r="I113" s="2">
        <f t="shared" si="9"/>
        <v>625.77951388648057</v>
      </c>
      <c r="J113" s="2">
        <f t="shared" si="10"/>
        <v>220</v>
      </c>
      <c r="K113" s="11">
        <f t="shared" si="11"/>
        <v>1251.5590277729611</v>
      </c>
      <c r="L113" s="2">
        <f t="shared" si="12"/>
        <v>780</v>
      </c>
      <c r="M113" s="2">
        <f t="shared" si="13"/>
        <v>2498.1158856819775</v>
      </c>
      <c r="N113" s="2">
        <f t="shared" si="14"/>
        <v>187970.73139790026</v>
      </c>
    </row>
    <row r="114" spans="7:14" x14ac:dyDescent="0.25">
      <c r="G114" s="2">
        <v>111</v>
      </c>
      <c r="H114" s="2">
        <f t="shared" si="8"/>
        <v>-628.26427560382581</v>
      </c>
      <c r="I114" s="2">
        <f t="shared" si="9"/>
        <v>628.26427560382581</v>
      </c>
      <c r="J114" s="2">
        <f t="shared" si="10"/>
        <v>222</v>
      </c>
      <c r="K114" s="11">
        <f t="shared" si="11"/>
        <v>1256.5285512076516</v>
      </c>
      <c r="L114" s="2">
        <f t="shared" si="12"/>
        <v>778</v>
      </c>
      <c r="M114" s="2">
        <f t="shared" si="13"/>
        <v>2508.0875789806128</v>
      </c>
      <c r="N114" s="2">
        <f t="shared" si="14"/>
        <v>190478.81897688087</v>
      </c>
    </row>
    <row r="115" spans="7:14" x14ac:dyDescent="0.25">
      <c r="G115" s="2">
        <v>112</v>
      </c>
      <c r="H115" s="2">
        <f t="shared" si="8"/>
        <v>-630.7329070216648</v>
      </c>
      <c r="I115" s="2">
        <f t="shared" si="9"/>
        <v>630.7329070216648</v>
      </c>
      <c r="J115" s="2">
        <f t="shared" si="10"/>
        <v>224</v>
      </c>
      <c r="K115" s="11">
        <f t="shared" si="11"/>
        <v>1261.4658140433296</v>
      </c>
      <c r="L115" s="2">
        <f t="shared" si="12"/>
        <v>776</v>
      </c>
      <c r="M115" s="2">
        <f t="shared" si="13"/>
        <v>2517.994365250981</v>
      </c>
      <c r="N115" s="2">
        <f t="shared" si="14"/>
        <v>192996.81334213185</v>
      </c>
    </row>
    <row r="116" spans="7:14" x14ac:dyDescent="0.25">
      <c r="G116" s="2">
        <v>113</v>
      </c>
      <c r="H116" s="2">
        <f t="shared" si="8"/>
        <v>-633.18559680397027</v>
      </c>
      <c r="I116" s="2">
        <f t="shared" si="9"/>
        <v>633.18559680397027</v>
      </c>
      <c r="J116" s="2">
        <f t="shared" si="10"/>
        <v>226</v>
      </c>
      <c r="K116" s="11">
        <f t="shared" si="11"/>
        <v>1266.3711936079405</v>
      </c>
      <c r="L116" s="2">
        <f t="shared" si="12"/>
        <v>774</v>
      </c>
      <c r="M116" s="2">
        <f t="shared" si="13"/>
        <v>2527.8370076512701</v>
      </c>
      <c r="N116" s="2">
        <f t="shared" si="14"/>
        <v>195524.65034978313</v>
      </c>
    </row>
    <row r="117" spans="7:14" x14ac:dyDescent="0.25">
      <c r="G117" s="2">
        <v>114</v>
      </c>
      <c r="H117" s="2">
        <f t="shared" si="8"/>
        <v>-635.62252949372396</v>
      </c>
      <c r="I117" s="2">
        <f t="shared" si="9"/>
        <v>635.62252949372396</v>
      </c>
      <c r="J117" s="2">
        <f t="shared" si="10"/>
        <v>228</v>
      </c>
      <c r="K117" s="11">
        <f t="shared" si="11"/>
        <v>1271.2450589874479</v>
      </c>
      <c r="L117" s="2">
        <f t="shared" si="12"/>
        <v>772</v>
      </c>
      <c r="M117" s="2">
        <f t="shared" si="13"/>
        <v>2537.6162525953887</v>
      </c>
      <c r="N117" s="2">
        <f t="shared" si="14"/>
        <v>198062.26660237851</v>
      </c>
    </row>
    <row r="118" spans="7:14" x14ac:dyDescent="0.25">
      <c r="G118" s="2">
        <v>115</v>
      </c>
      <c r="H118" s="2">
        <f t="shared" si="8"/>
        <v>-638.04388563797079</v>
      </c>
      <c r="I118" s="2">
        <f t="shared" si="9"/>
        <v>638.04388563797079</v>
      </c>
      <c r="J118" s="2">
        <f t="shared" si="10"/>
        <v>230</v>
      </c>
      <c r="K118" s="11">
        <f t="shared" si="11"/>
        <v>1276.0877712759416</v>
      </c>
      <c r="L118" s="2">
        <f t="shared" si="12"/>
        <v>770</v>
      </c>
      <c r="M118" s="2">
        <f t="shared" si="13"/>
        <v>2547.3328302633895</v>
      </c>
      <c r="N118" s="2">
        <f t="shared" si="14"/>
        <v>200609.5994326419</v>
      </c>
    </row>
    <row r="119" spans="7:14" x14ac:dyDescent="0.25">
      <c r="G119" s="2">
        <v>116</v>
      </c>
      <c r="H119" s="2">
        <f t="shared" si="8"/>
        <v>-640.44984190801392</v>
      </c>
      <c r="I119" s="2">
        <f t="shared" si="9"/>
        <v>640.44984190801392</v>
      </c>
      <c r="J119" s="2">
        <f t="shared" si="10"/>
        <v>232</v>
      </c>
      <c r="K119" s="11">
        <f t="shared" si="11"/>
        <v>1280.8996838160278</v>
      </c>
      <c r="L119" s="2">
        <f t="shared" si="12"/>
        <v>768</v>
      </c>
      <c r="M119" s="2">
        <f t="shared" si="13"/>
        <v>2556.9874550919694</v>
      </c>
      <c r="N119" s="2">
        <f t="shared" si="14"/>
        <v>203166.58688773387</v>
      </c>
    </row>
    <row r="120" spans="7:14" x14ac:dyDescent="0.25">
      <c r="G120" s="2">
        <v>117</v>
      </c>
      <c r="H120" s="2">
        <f t="shared" si="8"/>
        <v>-642.84057121497858</v>
      </c>
      <c r="I120" s="2">
        <f t="shared" si="9"/>
        <v>642.84057121497858</v>
      </c>
      <c r="J120" s="2">
        <f t="shared" si="10"/>
        <v>234</v>
      </c>
      <c r="K120" s="11">
        <f t="shared" si="11"/>
        <v>1285.6811424299572</v>
      </c>
      <c r="L120" s="2">
        <f t="shared" si="12"/>
        <v>766</v>
      </c>
      <c r="M120" s="2">
        <f t="shared" si="13"/>
        <v>2566.580826245985</v>
      </c>
      <c r="N120" s="2">
        <f t="shared" si="14"/>
        <v>205733.16771397984</v>
      </c>
    </row>
    <row r="121" spans="7:14" x14ac:dyDescent="0.25">
      <c r="G121" s="2">
        <v>118</v>
      </c>
      <c r="H121" s="2">
        <f t="shared" si="8"/>
        <v>-645.21624282096309</v>
      </c>
      <c r="I121" s="2">
        <f t="shared" si="9"/>
        <v>645.21624282096309</v>
      </c>
      <c r="J121" s="2">
        <f t="shared" si="10"/>
        <v>236</v>
      </c>
      <c r="K121" s="11">
        <f t="shared" si="11"/>
        <v>1290.4324856419262</v>
      </c>
      <c r="L121" s="2">
        <f t="shared" si="12"/>
        <v>764</v>
      </c>
      <c r="M121" s="2">
        <f t="shared" si="13"/>
        <v>2576.1136280718833</v>
      </c>
      <c r="N121" s="2">
        <f t="shared" si="14"/>
        <v>208309.28134205172</v>
      </c>
    </row>
    <row r="122" spans="7:14" x14ac:dyDescent="0.25">
      <c r="G122" s="2">
        <v>119</v>
      </c>
      <c r="H122" s="2">
        <f t="shared" si="8"/>
        <v>-647.57702244597897</v>
      </c>
      <c r="I122" s="2">
        <f t="shared" si="9"/>
        <v>647.57702244597897</v>
      </c>
      <c r="J122" s="2">
        <f t="shared" si="10"/>
        <v>238</v>
      </c>
      <c r="K122" s="11">
        <f t="shared" si="11"/>
        <v>1295.1540448919579</v>
      </c>
      <c r="L122" s="2">
        <f t="shared" si="12"/>
        <v>762</v>
      </c>
      <c r="M122" s="2">
        <f t="shared" si="13"/>
        <v>2585.5865305338839</v>
      </c>
      <c r="N122" s="2">
        <f t="shared" si="14"/>
        <v>210894.8678725856</v>
      </c>
    </row>
    <row r="123" spans="7:14" x14ac:dyDescent="0.25">
      <c r="G123" s="2">
        <v>120</v>
      </c>
      <c r="H123" s="2">
        <f t="shared" si="8"/>
        <v>-649.92307237087687</v>
      </c>
      <c r="I123" s="2">
        <f t="shared" si="9"/>
        <v>649.92307237087687</v>
      </c>
      <c r="J123" s="2">
        <f t="shared" si="10"/>
        <v>240</v>
      </c>
      <c r="K123" s="11">
        <f t="shared" si="11"/>
        <v>1299.8461447417537</v>
      </c>
      <c r="L123" s="2">
        <f t="shared" si="12"/>
        <v>760</v>
      </c>
      <c r="M123" s="2">
        <f t="shared" si="13"/>
        <v>2595.0001896337117</v>
      </c>
      <c r="N123" s="2">
        <f t="shared" si="14"/>
        <v>213489.86806221932</v>
      </c>
    </row>
    <row r="124" spans="7:14" x14ac:dyDescent="0.25">
      <c r="G124" s="2">
        <v>121</v>
      </c>
      <c r="H124" s="2">
        <f t="shared" si="8"/>
        <v>-652.25455153643816</v>
      </c>
      <c r="I124" s="2">
        <f t="shared" si="9"/>
        <v>652.25455153643816</v>
      </c>
      <c r="J124" s="2">
        <f t="shared" si="10"/>
        <v>242</v>
      </c>
      <c r="K124" s="11">
        <f t="shared" si="11"/>
        <v>1304.5091030728763</v>
      </c>
      <c r="L124" s="2">
        <f t="shared" si="12"/>
        <v>758</v>
      </c>
      <c r="M124" s="2">
        <f t="shared" si="13"/>
        <v>2604.3552478146303</v>
      </c>
      <c r="N124" s="2">
        <f t="shared" si="14"/>
        <v>216094.22331003397</v>
      </c>
    </row>
    <row r="125" spans="7:14" x14ac:dyDescent="0.25">
      <c r="G125" s="2">
        <v>122</v>
      </c>
      <c r="H125" s="2">
        <f t="shared" si="8"/>
        <v>-654.57161563880845</v>
      </c>
      <c r="I125" s="2">
        <f t="shared" si="9"/>
        <v>654.57161563880845</v>
      </c>
      <c r="J125" s="2">
        <f t="shared" si="10"/>
        <v>244</v>
      </c>
      <c r="K125" s="11">
        <f t="shared" si="11"/>
        <v>1309.1432312776169</v>
      </c>
      <c r="L125" s="2">
        <f t="shared" si="12"/>
        <v>756</v>
      </c>
      <c r="M125" s="2">
        <f t="shared" si="13"/>
        <v>2613.6523343504932</v>
      </c>
      <c r="N125" s="2">
        <f t="shared" si="14"/>
        <v>218707.87564438445</v>
      </c>
    </row>
    <row r="126" spans="7:14" x14ac:dyDescent="0.25">
      <c r="G126" s="2">
        <v>123</v>
      </c>
      <c r="H126" s="2">
        <f t="shared" si="8"/>
        <v>-656.87441722143512</v>
      </c>
      <c r="I126" s="2">
        <f t="shared" si="9"/>
        <v>656.87441722143512</v>
      </c>
      <c r="J126" s="2">
        <f t="shared" si="10"/>
        <v>246</v>
      </c>
      <c r="K126" s="11">
        <f t="shared" si="11"/>
        <v>1313.7488344428702</v>
      </c>
      <c r="L126" s="2">
        <f t="shared" si="12"/>
        <v>754</v>
      </c>
      <c r="M126" s="2">
        <f t="shared" si="13"/>
        <v>2622.8920657204872</v>
      </c>
      <c r="N126" s="2">
        <f t="shared" si="14"/>
        <v>221330.76771010493</v>
      </c>
    </row>
    <row r="127" spans="7:14" x14ac:dyDescent="0.25">
      <c r="G127" s="2">
        <v>124</v>
      </c>
      <c r="H127" s="2">
        <f t="shared" si="8"/>
        <v>-659.16310576366459</v>
      </c>
      <c r="I127" s="2">
        <f t="shared" si="9"/>
        <v>659.16310576366459</v>
      </c>
      <c r="J127" s="2">
        <f t="shared" si="10"/>
        <v>248</v>
      </c>
      <c r="K127" s="11">
        <f t="shared" si="11"/>
        <v>1318.3262115273292</v>
      </c>
      <c r="L127" s="2">
        <f t="shared" si="12"/>
        <v>752</v>
      </c>
      <c r="M127" s="2">
        <f t="shared" si="13"/>
        <v>2632.0750459701994</v>
      </c>
      <c r="N127" s="2">
        <f t="shared" si="14"/>
        <v>223962.84275607514</v>
      </c>
    </row>
    <row r="128" spans="7:14" x14ac:dyDescent="0.25">
      <c r="G128" s="2">
        <v>125</v>
      </c>
      <c r="H128" s="2">
        <f t="shared" si="8"/>
        <v>-661.43782776614762</v>
      </c>
      <c r="I128" s="2">
        <f t="shared" si="9"/>
        <v>661.43782776614762</v>
      </c>
      <c r="J128" s="2">
        <f t="shared" si="10"/>
        <v>250</v>
      </c>
      <c r="K128" s="11">
        <f t="shared" si="11"/>
        <v>1322.8756555322952</v>
      </c>
      <c r="L128" s="2">
        <f t="shared" si="12"/>
        <v>750</v>
      </c>
      <c r="M128" s="2">
        <f t="shared" si="13"/>
        <v>2641.2018670596244</v>
      </c>
      <c r="N128" s="2">
        <f t="shared" si="14"/>
        <v>226604.04462313477</v>
      </c>
    </row>
    <row r="129" spans="7:14" x14ac:dyDescent="0.25">
      <c r="G129" s="2">
        <v>126</v>
      </c>
      <c r="H129" s="2">
        <f t="shared" si="8"/>
        <v>-663.69872683319204</v>
      </c>
      <c r="I129" s="2">
        <f t="shared" si="9"/>
        <v>663.69872683319204</v>
      </c>
      <c r="J129" s="2">
        <f t="shared" si="10"/>
        <v>252</v>
      </c>
      <c r="K129" s="11">
        <f t="shared" si="11"/>
        <v>1327.3974536663841</v>
      </c>
      <c r="L129" s="2">
        <f t="shared" si="12"/>
        <v>748</v>
      </c>
      <c r="M129" s="2">
        <f t="shared" si="13"/>
        <v>2650.2731091986793</v>
      </c>
      <c r="N129" s="2">
        <f t="shared" si="14"/>
        <v>229254.31773233347</v>
      </c>
    </row>
    <row r="130" spans="7:14" x14ac:dyDescent="0.25">
      <c r="G130" s="2">
        <v>127</v>
      </c>
      <c r="H130" s="2">
        <f t="shared" si="8"/>
        <v>-665.94594375219378</v>
      </c>
      <c r="I130" s="2">
        <f t="shared" si="9"/>
        <v>665.94594375219378</v>
      </c>
      <c r="J130" s="2">
        <f t="shared" si="10"/>
        <v>254</v>
      </c>
      <c r="K130" s="11">
        <f t="shared" si="11"/>
        <v>1331.8918875043876</v>
      </c>
      <c r="L130" s="2">
        <f t="shared" si="12"/>
        <v>746</v>
      </c>
      <c r="M130" s="2">
        <f t="shared" si="13"/>
        <v>2659.2893411707719</v>
      </c>
      <c r="N130" s="2">
        <f t="shared" si="14"/>
        <v>231913.60707350424</v>
      </c>
    </row>
    <row r="131" spans="7:14" x14ac:dyDescent="0.25">
      <c r="G131" s="2">
        <v>128</v>
      </c>
      <c r="H131" s="2">
        <f t="shared" ref="H131:H194" si="15">IF(G131&lt;POC_BOD,-1*$K131/2,IF(G131=POC_BOD,0,NA()))</f>
        <v>-668.17961657027524</v>
      </c>
      <c r="I131" s="2">
        <f t="shared" ref="I131:I194" si="16">IF(G131&lt;=POC_BOD,$K131/2,IF(G131=POC_BOD,0,NA()))</f>
        <v>668.17961657027524</v>
      </c>
      <c r="J131" s="2">
        <f t="shared" ref="J131:J194" si="17">IF(G131&lt;=POC_BOD,DN_KRUH/POC_BOD*G131,"")</f>
        <v>256</v>
      </c>
      <c r="K131" s="11">
        <f t="shared" ref="K131:K194" si="18">IF(G131&lt;POC_BOD,2*POWER(POWER(R_KRUH,2)-POWER(ABS(J131-DN_KRUH/2),2),0.5),IF(G131=POC_BOD,0,""))</f>
        <v>1336.3592331405505</v>
      </c>
      <c r="L131" s="2">
        <f t="shared" ref="L131:L194" si="19">IF(G131&lt;=POC_BOD,ABS(J131-DN_KRUH/2),IF(G131=POC_BOD,0,""))</f>
        <v>744</v>
      </c>
      <c r="M131" s="2">
        <f t="shared" si="13"/>
        <v>2668.2511206449381</v>
      </c>
      <c r="N131" s="2">
        <f t="shared" si="14"/>
        <v>234581.85819414919</v>
      </c>
    </row>
    <row r="132" spans="7:14" x14ac:dyDescent="0.25">
      <c r="G132" s="2">
        <v>129</v>
      </c>
      <c r="H132" s="2">
        <f t="shared" si="15"/>
        <v>-670.39988066824719</v>
      </c>
      <c r="I132" s="2">
        <f t="shared" si="16"/>
        <v>670.39988066824719</v>
      </c>
      <c r="J132" s="2">
        <f t="shared" si="17"/>
        <v>258</v>
      </c>
      <c r="K132" s="11">
        <f t="shared" si="18"/>
        <v>1340.7997613364944</v>
      </c>
      <c r="L132" s="2">
        <f t="shared" si="19"/>
        <v>742</v>
      </c>
      <c r="M132" s="2">
        <f t="shared" ref="M132:M195" si="20">IF(G131&lt;=POC_BOD,(K131+K132)/2*(J132-J131),"")</f>
        <v>2677.1589944770449</v>
      </c>
      <c r="N132" s="2">
        <f t="shared" ref="N132:N195" si="21">IF(G131&lt;=POC_BOD,((K131+K132)/2*(J132-J131))+N131,"")</f>
        <v>237259.01718862623</v>
      </c>
    </row>
    <row r="133" spans="7:14" x14ac:dyDescent="0.25">
      <c r="G133" s="2">
        <v>130</v>
      </c>
      <c r="H133" s="2">
        <f t="shared" si="15"/>
        <v>-672.60686883200947</v>
      </c>
      <c r="I133" s="2">
        <f t="shared" si="16"/>
        <v>672.60686883200947</v>
      </c>
      <c r="J133" s="2">
        <f t="shared" si="17"/>
        <v>260</v>
      </c>
      <c r="K133" s="11">
        <f t="shared" si="18"/>
        <v>1345.2137376640189</v>
      </c>
      <c r="L133" s="2">
        <f t="shared" si="19"/>
        <v>740</v>
      </c>
      <c r="M133" s="2">
        <f t="shared" si="20"/>
        <v>2686.0134990005135</v>
      </c>
      <c r="N133" s="2">
        <f t="shared" si="21"/>
        <v>239945.03068762674</v>
      </c>
    </row>
    <row r="134" spans="7:14" x14ac:dyDescent="0.25">
      <c r="G134" s="2">
        <v>131</v>
      </c>
      <c r="H134" s="2">
        <f t="shared" si="15"/>
        <v>-674.80071132149828</v>
      </c>
      <c r="I134" s="2">
        <f t="shared" si="16"/>
        <v>674.80071132149828</v>
      </c>
      <c r="J134" s="2">
        <f t="shared" si="17"/>
        <v>262</v>
      </c>
      <c r="K134" s="11">
        <f t="shared" si="18"/>
        <v>1349.6014226429966</v>
      </c>
      <c r="L134" s="2">
        <f t="shared" si="19"/>
        <v>738</v>
      </c>
      <c r="M134" s="2">
        <f t="shared" si="20"/>
        <v>2694.8151603070155</v>
      </c>
      <c r="N134" s="2">
        <f t="shared" si="21"/>
        <v>242639.84584793376</v>
      </c>
    </row>
    <row r="135" spans="7:14" x14ac:dyDescent="0.25">
      <c r="G135" s="2">
        <v>132</v>
      </c>
      <c r="H135" s="2">
        <f t="shared" si="15"/>
        <v>-676.98153593728091</v>
      </c>
      <c r="I135" s="2">
        <f t="shared" si="16"/>
        <v>676.98153593728091</v>
      </c>
      <c r="J135" s="2">
        <f t="shared" si="17"/>
        <v>264</v>
      </c>
      <c r="K135" s="11">
        <f t="shared" si="18"/>
        <v>1353.9630718745618</v>
      </c>
      <c r="L135" s="2">
        <f t="shared" si="19"/>
        <v>736</v>
      </c>
      <c r="M135" s="2">
        <f t="shared" si="20"/>
        <v>2703.5644945175582</v>
      </c>
      <c r="N135" s="2">
        <f t="shared" si="21"/>
        <v>245343.4103424513</v>
      </c>
    </row>
    <row r="136" spans="7:14" x14ac:dyDescent="0.25">
      <c r="G136" s="2">
        <v>133</v>
      </c>
      <c r="H136" s="2">
        <f t="shared" si="15"/>
        <v>-679.1494680848981</v>
      </c>
      <c r="I136" s="2">
        <f t="shared" si="16"/>
        <v>679.1494680848981</v>
      </c>
      <c r="J136" s="2">
        <f t="shared" si="17"/>
        <v>266</v>
      </c>
      <c r="K136" s="11">
        <f t="shared" si="18"/>
        <v>1358.2989361697962</v>
      </c>
      <c r="L136" s="2">
        <f t="shared" si="19"/>
        <v>734</v>
      </c>
      <c r="M136" s="2">
        <f t="shared" si="20"/>
        <v>2712.262008044358</v>
      </c>
      <c r="N136" s="2">
        <f t="shared" si="21"/>
        <v>248055.67235049565</v>
      </c>
    </row>
    <row r="137" spans="7:14" x14ac:dyDescent="0.25">
      <c r="G137" s="2">
        <v>134</v>
      </c>
      <c r="H137" s="2">
        <f t="shared" si="15"/>
        <v>-681.30463083704342</v>
      </c>
      <c r="I137" s="2">
        <f t="shared" si="16"/>
        <v>681.30463083704342</v>
      </c>
      <c r="J137" s="2">
        <f t="shared" si="17"/>
        <v>268</v>
      </c>
      <c r="K137" s="11">
        <f t="shared" si="18"/>
        <v>1362.6092616740868</v>
      </c>
      <c r="L137" s="2">
        <f t="shared" si="19"/>
        <v>732</v>
      </c>
      <c r="M137" s="2">
        <f t="shared" si="20"/>
        <v>2720.908197843883</v>
      </c>
      <c r="N137" s="2">
        <f t="shared" si="21"/>
        <v>250776.58054833952</v>
      </c>
    </row>
    <row r="138" spans="7:14" x14ac:dyDescent="0.25">
      <c r="G138" s="2">
        <v>135</v>
      </c>
      <c r="H138" s="2">
        <f t="shared" si="15"/>
        <v>-683.44714499367103</v>
      </c>
      <c r="I138" s="2">
        <f t="shared" si="16"/>
        <v>683.44714499367103</v>
      </c>
      <c r="J138" s="2">
        <f t="shared" si="17"/>
        <v>270</v>
      </c>
      <c r="K138" s="11">
        <f t="shared" si="18"/>
        <v>1366.8942899873421</v>
      </c>
      <c r="L138" s="2">
        <f t="shared" si="19"/>
        <v>730</v>
      </c>
      <c r="M138" s="2">
        <f t="shared" si="20"/>
        <v>2729.5035516614289</v>
      </c>
      <c r="N138" s="2">
        <f t="shared" si="21"/>
        <v>253506.08410000094</v>
      </c>
    </row>
    <row r="139" spans="7:14" x14ac:dyDescent="0.25">
      <c r="G139" s="2">
        <v>136</v>
      </c>
      <c r="H139" s="2">
        <f t="shared" si="15"/>
        <v>-685.57712914011358</v>
      </c>
      <c r="I139" s="2">
        <f t="shared" si="16"/>
        <v>685.57712914011358</v>
      </c>
      <c r="J139" s="2">
        <f t="shared" si="17"/>
        <v>272</v>
      </c>
      <c r="K139" s="11">
        <f t="shared" si="18"/>
        <v>1371.1542582802272</v>
      </c>
      <c r="L139" s="2">
        <f t="shared" si="19"/>
        <v>728</v>
      </c>
      <c r="M139" s="2">
        <f t="shared" si="20"/>
        <v>2738.0485482675695</v>
      </c>
      <c r="N139" s="2">
        <f t="shared" si="21"/>
        <v>256244.13264826851</v>
      </c>
    </row>
    <row r="140" spans="7:14" x14ac:dyDescent="0.25">
      <c r="G140" s="2">
        <v>137</v>
      </c>
      <c r="H140" s="2">
        <f t="shared" si="15"/>
        <v>-687.69469970329135</v>
      </c>
      <c r="I140" s="2">
        <f t="shared" si="16"/>
        <v>687.69469970329135</v>
      </c>
      <c r="J140" s="2">
        <f t="shared" si="17"/>
        <v>274</v>
      </c>
      <c r="K140" s="11">
        <f t="shared" si="18"/>
        <v>1375.3893994065827</v>
      </c>
      <c r="L140" s="2">
        <f t="shared" si="19"/>
        <v>726</v>
      </c>
      <c r="M140" s="2">
        <f t="shared" si="20"/>
        <v>2746.5436576868096</v>
      </c>
      <c r="N140" s="2">
        <f t="shared" si="21"/>
        <v>258990.67630595533</v>
      </c>
    </row>
    <row r="141" spans="7:14" x14ac:dyDescent="0.25">
      <c r="G141" s="2">
        <v>138</v>
      </c>
      <c r="H141" s="2">
        <f t="shared" si="15"/>
        <v>-689.79997100608807</v>
      </c>
      <c r="I141" s="2">
        <f t="shared" si="16"/>
        <v>689.79997100608807</v>
      </c>
      <c r="J141" s="2">
        <f t="shared" si="17"/>
        <v>276</v>
      </c>
      <c r="K141" s="11">
        <f t="shared" si="18"/>
        <v>1379.5999420121761</v>
      </c>
      <c r="L141" s="2">
        <f t="shared" si="19"/>
        <v>724</v>
      </c>
      <c r="M141" s="2">
        <f t="shared" si="20"/>
        <v>2754.9893414187591</v>
      </c>
      <c r="N141" s="2">
        <f t="shared" si="21"/>
        <v>261745.66564737409</v>
      </c>
    </row>
    <row r="142" spans="7:14" x14ac:dyDescent="0.25">
      <c r="G142" s="2">
        <v>139</v>
      </c>
      <c r="H142" s="2">
        <f t="shared" si="15"/>
        <v>-691.89305531996774</v>
      </c>
      <c r="I142" s="2">
        <f t="shared" si="16"/>
        <v>691.89305531996774</v>
      </c>
      <c r="J142" s="2">
        <f t="shared" si="17"/>
        <v>278</v>
      </c>
      <c r="K142" s="11">
        <f t="shared" si="18"/>
        <v>1383.7861106399355</v>
      </c>
      <c r="L142" s="2">
        <f t="shared" si="19"/>
        <v>722</v>
      </c>
      <c r="M142" s="2">
        <f t="shared" si="20"/>
        <v>2763.3860526521116</v>
      </c>
      <c r="N142" s="2">
        <f t="shared" si="21"/>
        <v>264509.0517000262</v>
      </c>
    </row>
    <row r="143" spans="7:14" x14ac:dyDescent="0.25">
      <c r="G143" s="2">
        <v>140</v>
      </c>
      <c r="H143" s="2">
        <f t="shared" si="15"/>
        <v>-693.97406291589891</v>
      </c>
      <c r="I143" s="2">
        <f t="shared" si="16"/>
        <v>693.97406291589891</v>
      </c>
      <c r="J143" s="2">
        <f t="shared" si="17"/>
        <v>280</v>
      </c>
      <c r="K143" s="11">
        <f t="shared" si="18"/>
        <v>1387.9481258317978</v>
      </c>
      <c r="L143" s="2">
        <f t="shared" si="19"/>
        <v>720</v>
      </c>
      <c r="M143" s="2">
        <f t="shared" si="20"/>
        <v>2771.7342364717333</v>
      </c>
      <c r="N143" s="2">
        <f t="shared" si="21"/>
        <v>267280.78593649797</v>
      </c>
    </row>
    <row r="144" spans="7:14" x14ac:dyDescent="0.25">
      <c r="G144" s="2">
        <v>141</v>
      </c>
      <c r="H144" s="2">
        <f t="shared" si="15"/>
        <v>-696.04310211365498</v>
      </c>
      <c r="I144" s="2">
        <f t="shared" si="16"/>
        <v>696.04310211365498</v>
      </c>
      <c r="J144" s="2">
        <f t="shared" si="17"/>
        <v>282</v>
      </c>
      <c r="K144" s="11">
        <f t="shared" si="18"/>
        <v>1392.08620422731</v>
      </c>
      <c r="L144" s="2">
        <f t="shared" si="19"/>
        <v>718</v>
      </c>
      <c r="M144" s="2">
        <f t="shared" si="20"/>
        <v>2780.0343300591076</v>
      </c>
      <c r="N144" s="2">
        <f t="shared" si="21"/>
        <v>270060.8202665571</v>
      </c>
    </row>
    <row r="145" spans="7:14" x14ac:dyDescent="0.25">
      <c r="G145" s="2">
        <v>142</v>
      </c>
      <c r="H145" s="2">
        <f t="shared" si="15"/>
        <v>-698.10027932955302</v>
      </c>
      <c r="I145" s="2">
        <f t="shared" si="16"/>
        <v>698.10027932955302</v>
      </c>
      <c r="J145" s="2">
        <f t="shared" si="17"/>
        <v>284</v>
      </c>
      <c r="K145" s="11">
        <f t="shared" si="18"/>
        <v>1396.200558659106</v>
      </c>
      <c r="L145" s="2">
        <f t="shared" si="19"/>
        <v>716</v>
      </c>
      <c r="M145" s="2">
        <f t="shared" si="20"/>
        <v>2788.286762886416</v>
      </c>
      <c r="N145" s="2">
        <f t="shared" si="21"/>
        <v>272849.10702944349</v>
      </c>
    </row>
    <row r="146" spans="7:14" x14ac:dyDescent="0.25">
      <c r="G146" s="2">
        <v>143</v>
      </c>
      <c r="H146" s="2">
        <f t="shared" si="15"/>
        <v>-700.14569912268973</v>
      </c>
      <c r="I146" s="2">
        <f t="shared" si="16"/>
        <v>700.14569912268973</v>
      </c>
      <c r="J146" s="2">
        <f t="shared" si="17"/>
        <v>286</v>
      </c>
      <c r="K146" s="11">
        <f t="shared" si="18"/>
        <v>1400.2913982453795</v>
      </c>
      <c r="L146" s="2">
        <f t="shared" si="19"/>
        <v>714</v>
      </c>
      <c r="M146" s="2">
        <f t="shared" si="20"/>
        <v>2796.4919569044855</v>
      </c>
      <c r="N146" s="2">
        <f t="shared" si="21"/>
        <v>275645.59898634796</v>
      </c>
    </row>
    <row r="147" spans="7:14" x14ac:dyDescent="0.25">
      <c r="G147" s="2">
        <v>144</v>
      </c>
      <c r="H147" s="2">
        <f t="shared" si="15"/>
        <v>-702.1794642397341</v>
      </c>
      <c r="I147" s="2">
        <f t="shared" si="16"/>
        <v>702.1794642397341</v>
      </c>
      <c r="J147" s="2">
        <f t="shared" si="17"/>
        <v>288</v>
      </c>
      <c r="K147" s="11">
        <f t="shared" si="18"/>
        <v>1404.3589284794682</v>
      </c>
      <c r="L147" s="2">
        <f t="shared" si="19"/>
        <v>712</v>
      </c>
      <c r="M147" s="2">
        <f t="shared" si="20"/>
        <v>2804.6503267248477</v>
      </c>
      <c r="N147" s="2">
        <f t="shared" si="21"/>
        <v>278450.24931307283</v>
      </c>
    </row>
    <row r="148" spans="7:14" x14ac:dyDescent="0.25">
      <c r="G148" s="2">
        <v>145</v>
      </c>
      <c r="H148" s="2">
        <f t="shared" si="15"/>
        <v>-704.20167565833015</v>
      </c>
      <c r="I148" s="2">
        <f t="shared" si="16"/>
        <v>704.20167565833015</v>
      </c>
      <c r="J148" s="2">
        <f t="shared" si="17"/>
        <v>290</v>
      </c>
      <c r="K148" s="11">
        <f t="shared" si="18"/>
        <v>1408.4033513166603</v>
      </c>
      <c r="L148" s="2">
        <f t="shared" si="19"/>
        <v>710</v>
      </c>
      <c r="M148" s="2">
        <f t="shared" si="20"/>
        <v>2812.7622797961285</v>
      </c>
      <c r="N148" s="2">
        <f t="shared" si="21"/>
        <v>281263.01159286895</v>
      </c>
    </row>
    <row r="149" spans="7:14" x14ac:dyDescent="0.25">
      <c r="G149" s="2">
        <v>146</v>
      </c>
      <c r="H149" s="2">
        <f t="shared" si="15"/>
        <v>-706.21243262916289</v>
      </c>
      <c r="I149" s="2">
        <f t="shared" si="16"/>
        <v>706.21243262916289</v>
      </c>
      <c r="J149" s="2">
        <f t="shared" si="17"/>
        <v>292</v>
      </c>
      <c r="K149" s="11">
        <f t="shared" si="18"/>
        <v>1412.4248652583258</v>
      </c>
      <c r="L149" s="2">
        <f t="shared" si="19"/>
        <v>708</v>
      </c>
      <c r="M149" s="2">
        <f t="shared" si="20"/>
        <v>2820.8282165749861</v>
      </c>
      <c r="N149" s="2">
        <f t="shared" si="21"/>
        <v>284083.83980944392</v>
      </c>
    </row>
    <row r="150" spans="7:14" x14ac:dyDescent="0.25">
      <c r="G150" s="2">
        <v>147</v>
      </c>
      <c r="H150" s="2">
        <f t="shared" si="15"/>
        <v>-708.21183271673738</v>
      </c>
      <c r="I150" s="2">
        <f t="shared" si="16"/>
        <v>708.21183271673738</v>
      </c>
      <c r="J150" s="2">
        <f t="shared" si="17"/>
        <v>294</v>
      </c>
      <c r="K150" s="11">
        <f t="shared" si="18"/>
        <v>1416.4236654334748</v>
      </c>
      <c r="L150" s="2">
        <f t="shared" si="19"/>
        <v>706</v>
      </c>
      <c r="M150" s="2">
        <f t="shared" si="20"/>
        <v>2828.8485306918005</v>
      </c>
      <c r="N150" s="2">
        <f t="shared" si="21"/>
        <v>286912.68834013573</v>
      </c>
    </row>
    <row r="151" spans="7:14" x14ac:dyDescent="0.25">
      <c r="G151" s="2">
        <v>148</v>
      </c>
      <c r="H151" s="2">
        <f t="shared" si="15"/>
        <v>-710.19997183891803</v>
      </c>
      <c r="I151" s="2">
        <f t="shared" si="16"/>
        <v>710.19997183891803</v>
      </c>
      <c r="J151" s="2">
        <f t="shared" si="17"/>
        <v>296</v>
      </c>
      <c r="K151" s="11">
        <f t="shared" si="18"/>
        <v>1420.3999436778361</v>
      </c>
      <c r="L151" s="2">
        <f t="shared" si="19"/>
        <v>704</v>
      </c>
      <c r="M151" s="2">
        <f t="shared" si="20"/>
        <v>2836.8236091113108</v>
      </c>
      <c r="N151" s="2">
        <f t="shared" si="21"/>
        <v>289749.51194924704</v>
      </c>
    </row>
    <row r="152" spans="7:14" x14ac:dyDescent="0.25">
      <c r="G152" s="2">
        <v>149</v>
      </c>
      <c r="H152" s="2">
        <f t="shared" si="15"/>
        <v>-712.17694430527581</v>
      </c>
      <c r="I152" s="2">
        <f t="shared" si="16"/>
        <v>712.17694430527581</v>
      </c>
      <c r="J152" s="2">
        <f t="shared" si="17"/>
        <v>298</v>
      </c>
      <c r="K152" s="11">
        <f t="shared" si="18"/>
        <v>1424.3538886105516</v>
      </c>
      <c r="L152" s="2">
        <f t="shared" si="19"/>
        <v>702</v>
      </c>
      <c r="M152" s="2">
        <f t="shared" si="20"/>
        <v>2844.7538322883875</v>
      </c>
      <c r="N152" s="2">
        <f t="shared" si="21"/>
        <v>292594.26578153542</v>
      </c>
    </row>
    <row r="153" spans="7:14" x14ac:dyDescent="0.25">
      <c r="G153" s="2">
        <v>150</v>
      </c>
      <c r="H153" s="2">
        <f t="shared" si="15"/>
        <v>-714.14284285428505</v>
      </c>
      <c r="I153" s="2">
        <f t="shared" si="16"/>
        <v>714.14284285428505</v>
      </c>
      <c r="J153" s="2">
        <f t="shared" si="17"/>
        <v>300</v>
      </c>
      <c r="K153" s="11">
        <f t="shared" si="18"/>
        <v>1428.2856857085701</v>
      </c>
      <c r="L153" s="2">
        <f t="shared" si="19"/>
        <v>700</v>
      </c>
      <c r="M153" s="2">
        <f t="shared" si="20"/>
        <v>2852.6395743191215</v>
      </c>
      <c r="N153" s="2">
        <f t="shared" si="21"/>
        <v>295446.90535585454</v>
      </c>
    </row>
    <row r="154" spans="7:14" x14ac:dyDescent="0.25">
      <c r="G154" s="2">
        <v>151</v>
      </c>
      <c r="H154" s="2">
        <f t="shared" si="15"/>
        <v>-716.09775868941244</v>
      </c>
      <c r="I154" s="2">
        <f t="shared" si="16"/>
        <v>716.09775868941244</v>
      </c>
      <c r="J154" s="2">
        <f t="shared" si="17"/>
        <v>302</v>
      </c>
      <c r="K154" s="11">
        <f t="shared" si="18"/>
        <v>1432.1955173788249</v>
      </c>
      <c r="L154" s="2">
        <f t="shared" si="19"/>
        <v>698</v>
      </c>
      <c r="M154" s="2">
        <f t="shared" si="20"/>
        <v>2860.481203087395</v>
      </c>
      <c r="N154" s="2">
        <f t="shared" si="21"/>
        <v>298307.38655894191</v>
      </c>
    </row>
    <row r="155" spans="7:14" x14ac:dyDescent="0.25">
      <c r="G155" s="2">
        <v>152</v>
      </c>
      <c r="H155" s="2">
        <f t="shared" si="15"/>
        <v>-718.04178151413998</v>
      </c>
      <c r="I155" s="2">
        <f t="shared" si="16"/>
        <v>718.04178151413998</v>
      </c>
      <c r="J155" s="2">
        <f t="shared" si="17"/>
        <v>304</v>
      </c>
      <c r="K155" s="11">
        <f t="shared" si="18"/>
        <v>1436.08356302828</v>
      </c>
      <c r="L155" s="2">
        <f t="shared" si="19"/>
        <v>696</v>
      </c>
      <c r="M155" s="2">
        <f t="shared" si="20"/>
        <v>2868.2790804071046</v>
      </c>
      <c r="N155" s="2">
        <f t="shared" si="21"/>
        <v>301175.66563934903</v>
      </c>
    </row>
    <row r="156" spans="7:14" x14ac:dyDescent="0.25">
      <c r="G156" s="2">
        <v>153</v>
      </c>
      <c r="H156" s="2">
        <f t="shared" si="15"/>
        <v>-719.97499956595721</v>
      </c>
      <c r="I156" s="2">
        <f t="shared" si="16"/>
        <v>719.97499956595721</v>
      </c>
      <c r="J156" s="2">
        <f t="shared" si="17"/>
        <v>306</v>
      </c>
      <c r="K156" s="11">
        <f t="shared" si="18"/>
        <v>1439.9499991319144</v>
      </c>
      <c r="L156" s="2">
        <f t="shared" si="19"/>
        <v>694</v>
      </c>
      <c r="M156" s="2">
        <f t="shared" si="20"/>
        <v>2876.0335621601944</v>
      </c>
      <c r="N156" s="2">
        <f t="shared" si="21"/>
        <v>304051.69920150924</v>
      </c>
    </row>
    <row r="157" spans="7:14" x14ac:dyDescent="0.25">
      <c r="G157" s="2">
        <v>154</v>
      </c>
      <c r="H157" s="2">
        <f t="shared" si="15"/>
        <v>-721.89749964936163</v>
      </c>
      <c r="I157" s="2">
        <f t="shared" si="16"/>
        <v>721.89749964936163</v>
      </c>
      <c r="J157" s="2">
        <f t="shared" si="17"/>
        <v>308</v>
      </c>
      <c r="K157" s="11">
        <f t="shared" si="18"/>
        <v>1443.7949992987233</v>
      </c>
      <c r="L157" s="2">
        <f t="shared" si="19"/>
        <v>692</v>
      </c>
      <c r="M157" s="2">
        <f t="shared" si="20"/>
        <v>2883.7449984306377</v>
      </c>
      <c r="N157" s="2">
        <f t="shared" si="21"/>
        <v>306935.4441999399</v>
      </c>
    </row>
    <row r="158" spans="7:14" x14ac:dyDescent="0.25">
      <c r="G158" s="2">
        <v>155</v>
      </c>
      <c r="H158" s="2">
        <f t="shared" si="15"/>
        <v>-723.80936716790291</v>
      </c>
      <c r="I158" s="2">
        <f t="shared" si="16"/>
        <v>723.80936716790291</v>
      </c>
      <c r="J158" s="2">
        <f t="shared" si="17"/>
        <v>310</v>
      </c>
      <c r="K158" s="11">
        <f t="shared" si="18"/>
        <v>1447.6187343358058</v>
      </c>
      <c r="L158" s="2">
        <f t="shared" si="19"/>
        <v>690</v>
      </c>
      <c r="M158" s="2">
        <f t="shared" si="20"/>
        <v>2891.4137336345293</v>
      </c>
      <c r="N158" s="2">
        <f t="shared" si="21"/>
        <v>309826.85793357441</v>
      </c>
    </row>
    <row r="159" spans="7:14" x14ac:dyDescent="0.25">
      <c r="G159" s="2">
        <v>156</v>
      </c>
      <c r="H159" s="2">
        <f t="shared" si="15"/>
        <v>-725.71068615530248</v>
      </c>
      <c r="I159" s="2">
        <f t="shared" si="16"/>
        <v>725.71068615530248</v>
      </c>
      <c r="J159" s="2">
        <f t="shared" si="17"/>
        <v>312</v>
      </c>
      <c r="K159" s="11">
        <f t="shared" si="18"/>
        <v>1451.421372310605</v>
      </c>
      <c r="L159" s="2">
        <f t="shared" si="19"/>
        <v>688</v>
      </c>
      <c r="M159" s="2">
        <f t="shared" si="20"/>
        <v>2899.040106646411</v>
      </c>
      <c r="N159" s="2">
        <f t="shared" si="21"/>
        <v>312725.89804022084</v>
      </c>
    </row>
    <row r="160" spans="7:14" x14ac:dyDescent="0.25">
      <c r="G160" s="2">
        <v>157</v>
      </c>
      <c r="H160" s="2">
        <f t="shared" si="15"/>
        <v>-727.60153930568345</v>
      </c>
      <c r="I160" s="2">
        <f t="shared" si="16"/>
        <v>727.60153930568345</v>
      </c>
      <c r="J160" s="2">
        <f t="shared" si="17"/>
        <v>314</v>
      </c>
      <c r="K160" s="11">
        <f t="shared" si="18"/>
        <v>1455.2030786113669</v>
      </c>
      <c r="L160" s="2">
        <f t="shared" si="19"/>
        <v>686</v>
      </c>
      <c r="M160" s="2">
        <f t="shared" si="20"/>
        <v>2906.6244509219719</v>
      </c>
      <c r="N160" s="2">
        <f t="shared" si="21"/>
        <v>315632.52249114279</v>
      </c>
    </row>
    <row r="161" spans="7:14" x14ac:dyDescent="0.25">
      <c r="G161" s="2">
        <v>158</v>
      </c>
      <c r="H161" s="2">
        <f t="shared" si="15"/>
        <v>-729.48200800293898</v>
      </c>
      <c r="I161" s="2">
        <f t="shared" si="16"/>
        <v>729.48200800293898</v>
      </c>
      <c r="J161" s="2">
        <f t="shared" si="17"/>
        <v>316</v>
      </c>
      <c r="K161" s="11">
        <f t="shared" si="18"/>
        <v>1458.964016005878</v>
      </c>
      <c r="L161" s="2">
        <f t="shared" si="19"/>
        <v>684</v>
      </c>
      <c r="M161" s="2">
        <f t="shared" si="20"/>
        <v>2914.1670946172449</v>
      </c>
      <c r="N161" s="2">
        <f t="shared" si="21"/>
        <v>318546.68958576006</v>
      </c>
    </row>
    <row r="162" spans="7:14" x14ac:dyDescent="0.25">
      <c r="G162" s="2">
        <v>159</v>
      </c>
      <c r="H162" s="2">
        <f t="shared" si="15"/>
        <v>-731.35217234927256</v>
      </c>
      <c r="I162" s="2">
        <f t="shared" si="16"/>
        <v>731.35217234927256</v>
      </c>
      <c r="J162" s="2">
        <f t="shared" si="17"/>
        <v>318</v>
      </c>
      <c r="K162" s="11">
        <f t="shared" si="18"/>
        <v>1462.7043446985451</v>
      </c>
      <c r="L162" s="2">
        <f t="shared" si="19"/>
        <v>682</v>
      </c>
      <c r="M162" s="2">
        <f t="shared" si="20"/>
        <v>2921.6683607044233</v>
      </c>
      <c r="N162" s="2">
        <f t="shared" si="21"/>
        <v>321468.3579464645</v>
      </c>
    </row>
    <row r="163" spans="7:14" x14ac:dyDescent="0.25">
      <c r="G163" s="2">
        <v>160</v>
      </c>
      <c r="H163" s="2">
        <f t="shared" si="15"/>
        <v>-733.21211119293434</v>
      </c>
      <c r="I163" s="2">
        <f t="shared" si="16"/>
        <v>733.21211119293434</v>
      </c>
      <c r="J163" s="2">
        <f t="shared" si="17"/>
        <v>320</v>
      </c>
      <c r="K163" s="11">
        <f t="shared" si="18"/>
        <v>1466.4242223858687</v>
      </c>
      <c r="L163" s="2">
        <f t="shared" si="19"/>
        <v>680</v>
      </c>
      <c r="M163" s="2">
        <f t="shared" si="20"/>
        <v>2929.1285670844136</v>
      </c>
      <c r="N163" s="2">
        <f t="shared" si="21"/>
        <v>324397.48651354894</v>
      </c>
    </row>
    <row r="164" spans="7:14" x14ac:dyDescent="0.25">
      <c r="G164" s="2">
        <v>161</v>
      </c>
      <c r="H164" s="2">
        <f t="shared" si="15"/>
        <v>-735.06190215518586</v>
      </c>
      <c r="I164" s="2">
        <f t="shared" si="16"/>
        <v>735.06190215518586</v>
      </c>
      <c r="J164" s="2">
        <f t="shared" si="17"/>
        <v>322</v>
      </c>
      <c r="K164" s="11">
        <f t="shared" si="18"/>
        <v>1470.1238043103717</v>
      </c>
      <c r="L164" s="2">
        <f t="shared" si="19"/>
        <v>678</v>
      </c>
      <c r="M164" s="2">
        <f t="shared" si="20"/>
        <v>2936.5480266962404</v>
      </c>
      <c r="N164" s="2">
        <f t="shared" si="21"/>
        <v>327334.03454024519</v>
      </c>
    </row>
    <row r="165" spans="7:14" x14ac:dyDescent="0.25">
      <c r="G165" s="2">
        <v>162</v>
      </c>
      <c r="H165" s="2">
        <f t="shared" si="15"/>
        <v>-736.90162165651395</v>
      </c>
      <c r="I165" s="2">
        <f t="shared" si="16"/>
        <v>736.90162165651395</v>
      </c>
      <c r="J165" s="2">
        <f t="shared" si="17"/>
        <v>324</v>
      </c>
      <c r="K165" s="11">
        <f t="shared" si="18"/>
        <v>1473.8032433130279</v>
      </c>
      <c r="L165" s="2">
        <f t="shared" si="19"/>
        <v>676</v>
      </c>
      <c r="M165" s="2">
        <f t="shared" si="20"/>
        <v>2943.9270476233996</v>
      </c>
      <c r="N165" s="2">
        <f t="shared" si="21"/>
        <v>330277.96158786857</v>
      </c>
    </row>
    <row r="166" spans="7:14" x14ac:dyDescent="0.25">
      <c r="G166" s="2">
        <v>163</v>
      </c>
      <c r="H166" s="2">
        <f t="shared" si="15"/>
        <v>-738.73134494212445</v>
      </c>
      <c r="I166" s="2">
        <f t="shared" si="16"/>
        <v>738.73134494212445</v>
      </c>
      <c r="J166" s="2">
        <f t="shared" si="17"/>
        <v>326</v>
      </c>
      <c r="K166" s="11">
        <f t="shared" si="18"/>
        <v>1477.4626898842489</v>
      </c>
      <c r="L166" s="2">
        <f t="shared" si="19"/>
        <v>674</v>
      </c>
      <c r="M166" s="2">
        <f t="shared" si="20"/>
        <v>2951.2659331972768</v>
      </c>
      <c r="N166" s="2">
        <f t="shared" si="21"/>
        <v>333229.22752106586</v>
      </c>
    </row>
    <row r="167" spans="7:14" x14ac:dyDescent="0.25">
      <c r="G167" s="2">
        <v>164</v>
      </c>
      <c r="H167" s="2">
        <f t="shared" si="15"/>
        <v>-740.55114610673581</v>
      </c>
      <c r="I167" s="2">
        <f t="shared" si="16"/>
        <v>740.55114610673581</v>
      </c>
      <c r="J167" s="2">
        <f t="shared" si="17"/>
        <v>328</v>
      </c>
      <c r="K167" s="11">
        <f t="shared" si="18"/>
        <v>1481.1022922134716</v>
      </c>
      <c r="L167" s="2">
        <f t="shared" si="19"/>
        <v>672</v>
      </c>
      <c r="M167" s="2">
        <f t="shared" si="20"/>
        <v>2958.5649820977205</v>
      </c>
      <c r="N167" s="2">
        <f t="shared" si="21"/>
        <v>336187.79250316357</v>
      </c>
    </row>
    <row r="168" spans="7:14" x14ac:dyDescent="0.25">
      <c r="G168" s="2">
        <v>165</v>
      </c>
      <c r="H168" s="2">
        <f t="shared" si="15"/>
        <v>-742.36109811869858</v>
      </c>
      <c r="I168" s="2">
        <f t="shared" si="16"/>
        <v>742.36109811869858</v>
      </c>
      <c r="J168" s="2">
        <f t="shared" si="17"/>
        <v>330</v>
      </c>
      <c r="K168" s="11">
        <f t="shared" si="18"/>
        <v>1484.7221962373972</v>
      </c>
      <c r="L168" s="2">
        <f t="shared" si="19"/>
        <v>670</v>
      </c>
      <c r="M168" s="2">
        <f t="shared" si="20"/>
        <v>2965.8244884508686</v>
      </c>
      <c r="N168" s="2">
        <f t="shared" si="21"/>
        <v>339153.61699161446</v>
      </c>
    </row>
    <row r="169" spans="7:14" x14ac:dyDescent="0.25">
      <c r="G169" s="2">
        <v>166</v>
      </c>
      <c r="H169" s="2">
        <f t="shared" si="15"/>
        <v>-744.16127284346101</v>
      </c>
      <c r="I169" s="2">
        <f t="shared" si="16"/>
        <v>744.16127284346101</v>
      </c>
      <c r="J169" s="2">
        <f t="shared" si="17"/>
        <v>332</v>
      </c>
      <c r="K169" s="11">
        <f t="shared" si="18"/>
        <v>1488.322545686922</v>
      </c>
      <c r="L169" s="2">
        <f t="shared" si="19"/>
        <v>668</v>
      </c>
      <c r="M169" s="2">
        <f t="shared" si="20"/>
        <v>2973.0447419243192</v>
      </c>
      <c r="N169" s="2">
        <f t="shared" si="21"/>
        <v>342126.66173353879</v>
      </c>
    </row>
    <row r="170" spans="7:14" x14ac:dyDescent="0.25">
      <c r="G170" s="2">
        <v>167</v>
      </c>
      <c r="H170" s="2">
        <f t="shared" si="15"/>
        <v>-745.95174106640434</v>
      </c>
      <c r="I170" s="2">
        <f t="shared" si="16"/>
        <v>745.95174106640434</v>
      </c>
      <c r="J170" s="2">
        <f t="shared" si="17"/>
        <v>334</v>
      </c>
      <c r="K170" s="11">
        <f t="shared" si="18"/>
        <v>1491.9034821328087</v>
      </c>
      <c r="L170" s="2">
        <f t="shared" si="19"/>
        <v>666</v>
      </c>
      <c r="M170" s="2">
        <f t="shared" si="20"/>
        <v>2980.2260278197309</v>
      </c>
      <c r="N170" s="2">
        <f t="shared" si="21"/>
        <v>345106.88776135852</v>
      </c>
    </row>
    <row r="171" spans="7:14" x14ac:dyDescent="0.25">
      <c r="G171" s="2">
        <v>168</v>
      </c>
      <c r="H171" s="2">
        <f t="shared" si="15"/>
        <v>-747.73257251506709</v>
      </c>
      <c r="I171" s="2">
        <f t="shared" si="16"/>
        <v>747.73257251506709</v>
      </c>
      <c r="J171" s="2">
        <f t="shared" si="17"/>
        <v>336</v>
      </c>
      <c r="K171" s="11">
        <f t="shared" si="18"/>
        <v>1495.4651450301342</v>
      </c>
      <c r="L171" s="2">
        <f t="shared" si="19"/>
        <v>664</v>
      </c>
      <c r="M171" s="2">
        <f t="shared" si="20"/>
        <v>2987.3686271629431</v>
      </c>
      <c r="N171" s="2">
        <f t="shared" si="21"/>
        <v>348094.25638852146</v>
      </c>
    </row>
    <row r="172" spans="7:14" x14ac:dyDescent="0.25">
      <c r="G172" s="2">
        <v>169</v>
      </c>
      <c r="H172" s="2">
        <f t="shared" si="15"/>
        <v>-749.50383588077784</v>
      </c>
      <c r="I172" s="2">
        <f t="shared" si="16"/>
        <v>749.50383588077784</v>
      </c>
      <c r="J172" s="2">
        <f t="shared" si="17"/>
        <v>338</v>
      </c>
      <c r="K172" s="11">
        <f t="shared" si="18"/>
        <v>1499.0076717615557</v>
      </c>
      <c r="L172" s="2">
        <f t="shared" si="19"/>
        <v>662</v>
      </c>
      <c r="M172" s="2">
        <f t="shared" si="20"/>
        <v>2994.4728167916901</v>
      </c>
      <c r="N172" s="2">
        <f t="shared" si="21"/>
        <v>351088.72920531314</v>
      </c>
    </row>
    <row r="173" spans="7:14" x14ac:dyDescent="0.25">
      <c r="G173" s="2">
        <v>170</v>
      </c>
      <c r="H173" s="2">
        <f t="shared" si="15"/>
        <v>-751.26559883971788</v>
      </c>
      <c r="I173" s="2">
        <f t="shared" si="16"/>
        <v>751.26559883971788</v>
      </c>
      <c r="J173" s="2">
        <f t="shared" si="17"/>
        <v>340</v>
      </c>
      <c r="K173" s="11">
        <f t="shared" si="18"/>
        <v>1502.5311976794358</v>
      </c>
      <c r="L173" s="2">
        <f t="shared" si="19"/>
        <v>660</v>
      </c>
      <c r="M173" s="2">
        <f t="shared" si="20"/>
        <v>3001.5388694409912</v>
      </c>
      <c r="N173" s="2">
        <f t="shared" si="21"/>
        <v>354090.2680747541</v>
      </c>
    </row>
    <row r="174" spans="7:14" x14ac:dyDescent="0.25">
      <c r="G174" s="2">
        <v>171</v>
      </c>
      <c r="H174" s="2">
        <f t="shared" si="15"/>
        <v>-753.01792807342906</v>
      </c>
      <c r="I174" s="2">
        <f t="shared" si="16"/>
        <v>753.01792807342906</v>
      </c>
      <c r="J174" s="2">
        <f t="shared" si="17"/>
        <v>342</v>
      </c>
      <c r="K174" s="11">
        <f t="shared" si="18"/>
        <v>1506.0358561468581</v>
      </c>
      <c r="L174" s="2">
        <f t="shared" si="19"/>
        <v>658</v>
      </c>
      <c r="M174" s="2">
        <f t="shared" si="20"/>
        <v>3008.5670538262939</v>
      </c>
      <c r="N174" s="2">
        <f t="shared" si="21"/>
        <v>357098.83512858039</v>
      </c>
    </row>
    <row r="175" spans="7:14" x14ac:dyDescent="0.25">
      <c r="G175" s="2">
        <v>172</v>
      </c>
      <c r="H175" s="2">
        <f t="shared" si="15"/>
        <v>-754.76088928878664</v>
      </c>
      <c r="I175" s="2">
        <f t="shared" si="16"/>
        <v>754.76088928878664</v>
      </c>
      <c r="J175" s="2">
        <f t="shared" si="17"/>
        <v>344</v>
      </c>
      <c r="K175" s="11">
        <f t="shared" si="18"/>
        <v>1509.5217785775733</v>
      </c>
      <c r="L175" s="2">
        <f t="shared" si="19"/>
        <v>656</v>
      </c>
      <c r="M175" s="2">
        <f t="shared" si="20"/>
        <v>3015.5576347244314</v>
      </c>
      <c r="N175" s="2">
        <f t="shared" si="21"/>
        <v>360114.39276330482</v>
      </c>
    </row>
    <row r="176" spans="7:14" x14ac:dyDescent="0.25">
      <c r="G176" s="2">
        <v>173</v>
      </c>
      <c r="H176" s="2">
        <f t="shared" si="15"/>
        <v>-756.49454723745362</v>
      </c>
      <c r="I176" s="2">
        <f t="shared" si="16"/>
        <v>756.49454723745362</v>
      </c>
      <c r="J176" s="2">
        <f t="shared" si="17"/>
        <v>346</v>
      </c>
      <c r="K176" s="11">
        <f t="shared" si="18"/>
        <v>1512.9890944749072</v>
      </c>
      <c r="L176" s="2">
        <f t="shared" si="19"/>
        <v>654</v>
      </c>
      <c r="M176" s="2">
        <f t="shared" si="20"/>
        <v>3022.5108730524807</v>
      </c>
      <c r="N176" s="2">
        <f t="shared" si="21"/>
        <v>363136.90363635728</v>
      </c>
    </row>
    <row r="177" spans="7:14" x14ac:dyDescent="0.25">
      <c r="G177" s="2">
        <v>174</v>
      </c>
      <c r="H177" s="2">
        <f t="shared" si="15"/>
        <v>-758.21896573483309</v>
      </c>
      <c r="I177" s="2">
        <f t="shared" si="16"/>
        <v>758.21896573483309</v>
      </c>
      <c r="J177" s="2">
        <f t="shared" si="17"/>
        <v>348</v>
      </c>
      <c r="K177" s="11">
        <f t="shared" si="18"/>
        <v>1516.4379314696662</v>
      </c>
      <c r="L177" s="2">
        <f t="shared" si="19"/>
        <v>652</v>
      </c>
      <c r="M177" s="2">
        <f t="shared" si="20"/>
        <v>3029.4270259445734</v>
      </c>
      <c r="N177" s="2">
        <f t="shared" si="21"/>
        <v>366166.33066230186</v>
      </c>
    </row>
    <row r="178" spans="7:14" x14ac:dyDescent="0.25">
      <c r="G178" s="2">
        <v>175</v>
      </c>
      <c r="H178" s="2">
        <f t="shared" si="15"/>
        <v>-759.9342076785332</v>
      </c>
      <c r="I178" s="2">
        <f t="shared" si="16"/>
        <v>759.9342076785332</v>
      </c>
      <c r="J178" s="2">
        <f t="shared" si="17"/>
        <v>350</v>
      </c>
      <c r="K178" s="11">
        <f t="shared" si="18"/>
        <v>1519.8684153570664</v>
      </c>
      <c r="L178" s="2">
        <f t="shared" si="19"/>
        <v>650</v>
      </c>
      <c r="M178" s="2">
        <f t="shared" si="20"/>
        <v>3036.3063468267328</v>
      </c>
      <c r="N178" s="2">
        <f t="shared" si="21"/>
        <v>369202.63700912858</v>
      </c>
    </row>
    <row r="179" spans="7:14" x14ac:dyDescent="0.25">
      <c r="G179" s="2">
        <v>176</v>
      </c>
      <c r="H179" s="2">
        <f t="shared" si="15"/>
        <v>-761.6403350663619</v>
      </c>
      <c r="I179" s="2">
        <f t="shared" si="16"/>
        <v>761.6403350663619</v>
      </c>
      <c r="J179" s="2">
        <f t="shared" si="17"/>
        <v>352</v>
      </c>
      <c r="K179" s="11">
        <f t="shared" si="18"/>
        <v>1523.2806701327238</v>
      </c>
      <c r="L179" s="2">
        <f t="shared" si="19"/>
        <v>648</v>
      </c>
      <c r="M179" s="2">
        <f t="shared" si="20"/>
        <v>3043.1490854897902</v>
      </c>
      <c r="N179" s="2">
        <f t="shared" si="21"/>
        <v>372245.78609461838</v>
      </c>
    </row>
    <row r="180" spans="7:14" x14ac:dyDescent="0.25">
      <c r="G180" s="2">
        <v>177</v>
      </c>
      <c r="H180" s="2">
        <f t="shared" si="15"/>
        <v>-763.33740901386454</v>
      </c>
      <c r="I180" s="2">
        <f t="shared" si="16"/>
        <v>763.33740901386454</v>
      </c>
      <c r="J180" s="2">
        <f t="shared" si="17"/>
        <v>354</v>
      </c>
      <c r="K180" s="11">
        <f t="shared" si="18"/>
        <v>1526.6748180277291</v>
      </c>
      <c r="L180" s="2">
        <f t="shared" si="19"/>
        <v>646</v>
      </c>
      <c r="M180" s="2">
        <f t="shared" si="20"/>
        <v>3049.9554881604527</v>
      </c>
      <c r="N180" s="2">
        <f t="shared" si="21"/>
        <v>375295.74158277881</v>
      </c>
    </row>
    <row r="181" spans="7:14" x14ac:dyDescent="0.25">
      <c r="G181" s="2">
        <v>178</v>
      </c>
      <c r="H181" s="2">
        <f t="shared" si="15"/>
        <v>-765.0254897714193</v>
      </c>
      <c r="I181" s="2">
        <f t="shared" si="16"/>
        <v>765.0254897714193</v>
      </c>
      <c r="J181" s="2">
        <f t="shared" si="17"/>
        <v>356</v>
      </c>
      <c r="K181" s="11">
        <f t="shared" si="18"/>
        <v>1530.0509795428386</v>
      </c>
      <c r="L181" s="2">
        <f t="shared" si="19"/>
        <v>644</v>
      </c>
      <c r="M181" s="2">
        <f t="shared" si="20"/>
        <v>3056.7257975705679</v>
      </c>
      <c r="N181" s="2">
        <f t="shared" si="21"/>
        <v>378352.46738034935</v>
      </c>
    </row>
    <row r="182" spans="7:14" x14ac:dyDescent="0.25">
      <c r="G182" s="2">
        <v>179</v>
      </c>
      <c r="H182" s="2">
        <f t="shared" si="15"/>
        <v>-766.70463674090297</v>
      </c>
      <c r="I182" s="2">
        <f t="shared" si="16"/>
        <v>766.70463674090297</v>
      </c>
      <c r="J182" s="2">
        <f t="shared" si="17"/>
        <v>358</v>
      </c>
      <c r="K182" s="11">
        <f t="shared" si="18"/>
        <v>1533.4092734818059</v>
      </c>
      <c r="L182" s="2">
        <f t="shared" si="19"/>
        <v>642</v>
      </c>
      <c r="M182" s="2">
        <f t="shared" si="20"/>
        <v>3063.4602530246448</v>
      </c>
      <c r="N182" s="2">
        <f t="shared" si="21"/>
        <v>381415.927633374</v>
      </c>
    </row>
    <row r="183" spans="7:14" x14ac:dyDescent="0.25">
      <c r="G183" s="2">
        <v>180</v>
      </c>
      <c r="H183" s="2">
        <f t="shared" si="15"/>
        <v>-768.37490849194182</v>
      </c>
      <c r="I183" s="2">
        <f t="shared" si="16"/>
        <v>768.37490849194182</v>
      </c>
      <c r="J183" s="2">
        <f t="shared" si="17"/>
        <v>360</v>
      </c>
      <c r="K183" s="11">
        <f t="shared" si="18"/>
        <v>1536.7498169838836</v>
      </c>
      <c r="L183" s="2">
        <f t="shared" si="19"/>
        <v>640</v>
      </c>
      <c r="M183" s="2">
        <f t="shared" si="20"/>
        <v>3070.1590904656896</v>
      </c>
      <c r="N183" s="2">
        <f t="shared" si="21"/>
        <v>384486.08672383969</v>
      </c>
    </row>
    <row r="184" spans="7:14" x14ac:dyDescent="0.25">
      <c r="G184" s="2">
        <v>181</v>
      </c>
      <c r="H184" s="2">
        <f t="shared" si="15"/>
        <v>-770.03636277775865</v>
      </c>
      <c r="I184" s="2">
        <f t="shared" si="16"/>
        <v>770.03636277775865</v>
      </c>
      <c r="J184" s="2">
        <f t="shared" si="17"/>
        <v>362</v>
      </c>
      <c r="K184" s="11">
        <f t="shared" si="18"/>
        <v>1540.0727255555173</v>
      </c>
      <c r="L184" s="2">
        <f t="shared" si="19"/>
        <v>638</v>
      </c>
      <c r="M184" s="2">
        <f t="shared" si="20"/>
        <v>3076.8225425394012</v>
      </c>
      <c r="N184" s="2">
        <f t="shared" si="21"/>
        <v>387562.90926637908</v>
      </c>
    </row>
    <row r="185" spans="7:14" x14ac:dyDescent="0.25">
      <c r="G185" s="2">
        <v>182</v>
      </c>
      <c r="H185" s="2">
        <f t="shared" si="15"/>
        <v>-771.68905655062906</v>
      </c>
      <c r="I185" s="2">
        <f t="shared" si="16"/>
        <v>771.68905655062906</v>
      </c>
      <c r="J185" s="2">
        <f t="shared" si="17"/>
        <v>364</v>
      </c>
      <c r="K185" s="11">
        <f t="shared" si="18"/>
        <v>1543.3781131012581</v>
      </c>
      <c r="L185" s="2">
        <f t="shared" si="19"/>
        <v>636</v>
      </c>
      <c r="M185" s="2">
        <f t="shared" si="20"/>
        <v>3083.4508386567754</v>
      </c>
      <c r="N185" s="2">
        <f t="shared" si="21"/>
        <v>390646.36010503583</v>
      </c>
    </row>
    <row r="186" spans="7:14" x14ac:dyDescent="0.25">
      <c r="G186" s="2">
        <v>183</v>
      </c>
      <c r="H186" s="2">
        <f t="shared" si="15"/>
        <v>-773.33304597695815</v>
      </c>
      <c r="I186" s="2">
        <f t="shared" si="16"/>
        <v>773.33304597695815</v>
      </c>
      <c r="J186" s="2">
        <f t="shared" si="17"/>
        <v>366</v>
      </c>
      <c r="K186" s="11">
        <f t="shared" si="18"/>
        <v>1546.6660919539163</v>
      </c>
      <c r="L186" s="2">
        <f t="shared" si="19"/>
        <v>634</v>
      </c>
      <c r="M186" s="2">
        <f t="shared" si="20"/>
        <v>3090.0442050551746</v>
      </c>
      <c r="N186" s="2">
        <f t="shared" si="21"/>
        <v>393736.40431009099</v>
      </c>
    </row>
    <row r="187" spans="7:14" x14ac:dyDescent="0.25">
      <c r="G187" s="2">
        <v>184</v>
      </c>
      <c r="H187" s="2">
        <f t="shared" si="15"/>
        <v>-774.96838645198943</v>
      </c>
      <c r="I187" s="2">
        <f t="shared" si="16"/>
        <v>774.96838645198943</v>
      </c>
      <c r="J187" s="2">
        <f t="shared" si="17"/>
        <v>368</v>
      </c>
      <c r="K187" s="11">
        <f t="shared" si="18"/>
        <v>1549.9367729039789</v>
      </c>
      <c r="L187" s="2">
        <f t="shared" si="19"/>
        <v>632</v>
      </c>
      <c r="M187" s="2">
        <f t="shared" si="20"/>
        <v>3096.6028648578949</v>
      </c>
      <c r="N187" s="2">
        <f t="shared" si="21"/>
        <v>396833.00717494887</v>
      </c>
    </row>
    <row r="188" spans="7:14" x14ac:dyDescent="0.25">
      <c r="G188" s="2">
        <v>185</v>
      </c>
      <c r="H188" s="2">
        <f t="shared" si="15"/>
        <v>-776.59513261415691</v>
      </c>
      <c r="I188" s="2">
        <f t="shared" si="16"/>
        <v>776.59513261415691</v>
      </c>
      <c r="J188" s="2">
        <f t="shared" si="17"/>
        <v>370</v>
      </c>
      <c r="K188" s="11">
        <f t="shared" si="18"/>
        <v>1553.1902652283138</v>
      </c>
      <c r="L188" s="2">
        <f t="shared" si="19"/>
        <v>630</v>
      </c>
      <c r="M188" s="2">
        <f t="shared" si="20"/>
        <v>3103.1270381322929</v>
      </c>
      <c r="N188" s="2">
        <f t="shared" si="21"/>
        <v>399936.13421308115</v>
      </c>
    </row>
    <row r="189" spans="7:14" x14ac:dyDescent="0.25">
      <c r="G189" s="2">
        <v>186</v>
      </c>
      <c r="H189" s="2">
        <f t="shared" si="15"/>
        <v>-778.21333835909036</v>
      </c>
      <c r="I189" s="2">
        <f t="shared" si="16"/>
        <v>778.21333835909036</v>
      </c>
      <c r="J189" s="2">
        <f t="shared" si="17"/>
        <v>372</v>
      </c>
      <c r="K189" s="11">
        <f t="shared" si="18"/>
        <v>1556.4266767181807</v>
      </c>
      <c r="L189" s="2">
        <f t="shared" si="19"/>
        <v>628</v>
      </c>
      <c r="M189" s="2">
        <f t="shared" si="20"/>
        <v>3109.6169419464945</v>
      </c>
      <c r="N189" s="2">
        <f t="shared" si="21"/>
        <v>403045.75115502765</v>
      </c>
    </row>
    <row r="190" spans="7:14" x14ac:dyDescent="0.25">
      <c r="G190" s="2">
        <v>187</v>
      </c>
      <c r="H190" s="2">
        <f t="shared" si="15"/>
        <v>-779.8230568532839</v>
      </c>
      <c r="I190" s="2">
        <f t="shared" si="16"/>
        <v>779.8230568532839</v>
      </c>
      <c r="J190" s="2">
        <f t="shared" si="17"/>
        <v>374</v>
      </c>
      <c r="K190" s="11">
        <f t="shared" si="18"/>
        <v>1559.6461137065678</v>
      </c>
      <c r="L190" s="2">
        <f t="shared" si="19"/>
        <v>626</v>
      </c>
      <c r="M190" s="2">
        <f t="shared" si="20"/>
        <v>3116.0727904247487</v>
      </c>
      <c r="N190" s="2">
        <f t="shared" si="21"/>
        <v>406161.8239454524</v>
      </c>
    </row>
    <row r="191" spans="7:14" x14ac:dyDescent="0.25">
      <c r="G191" s="2">
        <v>188</v>
      </c>
      <c r="H191" s="2">
        <f t="shared" si="15"/>
        <v>-781.4243405474391</v>
      </c>
      <c r="I191" s="2">
        <f t="shared" si="16"/>
        <v>781.4243405474391</v>
      </c>
      <c r="J191" s="2">
        <f t="shared" si="17"/>
        <v>376</v>
      </c>
      <c r="K191" s="11">
        <f t="shared" si="18"/>
        <v>1562.8486810948782</v>
      </c>
      <c r="L191" s="2">
        <f t="shared" si="19"/>
        <v>624</v>
      </c>
      <c r="M191" s="2">
        <f t="shared" si="20"/>
        <v>3122.494794801446</v>
      </c>
      <c r="N191" s="2">
        <f t="shared" si="21"/>
        <v>409284.31874025386</v>
      </c>
    </row>
    <row r="192" spans="7:14" x14ac:dyDescent="0.25">
      <c r="G192" s="2">
        <v>189</v>
      </c>
      <c r="H192" s="2">
        <f t="shared" si="15"/>
        <v>-783.01724118949005</v>
      </c>
      <c r="I192" s="2">
        <f t="shared" si="16"/>
        <v>783.01724118949005</v>
      </c>
      <c r="J192" s="2">
        <f t="shared" si="17"/>
        <v>378</v>
      </c>
      <c r="K192" s="11">
        <f t="shared" si="18"/>
        <v>1566.0344823789801</v>
      </c>
      <c r="L192" s="2">
        <f t="shared" si="19"/>
        <v>622</v>
      </c>
      <c r="M192" s="2">
        <f t="shared" si="20"/>
        <v>3128.8831634738581</v>
      </c>
      <c r="N192" s="2">
        <f t="shared" si="21"/>
        <v>412413.20190372772</v>
      </c>
    </row>
    <row r="193" spans="7:14" x14ac:dyDescent="0.25">
      <c r="G193" s="2">
        <v>190</v>
      </c>
      <c r="H193" s="2">
        <f t="shared" si="15"/>
        <v>-784.60180983732118</v>
      </c>
      <c r="I193" s="2">
        <f t="shared" si="16"/>
        <v>784.60180983732118</v>
      </c>
      <c r="J193" s="2">
        <f t="shared" si="17"/>
        <v>380</v>
      </c>
      <c r="K193" s="11">
        <f t="shared" si="18"/>
        <v>1569.2036196746424</v>
      </c>
      <c r="L193" s="2">
        <f t="shared" si="19"/>
        <v>620</v>
      </c>
      <c r="M193" s="2">
        <f t="shared" si="20"/>
        <v>3135.2381020536222</v>
      </c>
      <c r="N193" s="2">
        <f t="shared" si="21"/>
        <v>415548.44000578136</v>
      </c>
    </row>
    <row r="194" spans="7:14" x14ac:dyDescent="0.25">
      <c r="G194" s="2">
        <v>191</v>
      </c>
      <c r="H194" s="2">
        <f t="shared" si="15"/>
        <v>-786.17809687118609</v>
      </c>
      <c r="I194" s="2">
        <f t="shared" si="16"/>
        <v>786.17809687118609</v>
      </c>
      <c r="J194" s="2">
        <f t="shared" si="17"/>
        <v>382</v>
      </c>
      <c r="K194" s="11">
        <f t="shared" si="18"/>
        <v>1572.3561937423722</v>
      </c>
      <c r="L194" s="2">
        <f t="shared" si="19"/>
        <v>618</v>
      </c>
      <c r="M194" s="2">
        <f t="shared" si="20"/>
        <v>3141.5598134170145</v>
      </c>
      <c r="N194" s="2">
        <f t="shared" si="21"/>
        <v>418689.99981919839</v>
      </c>
    </row>
    <row r="195" spans="7:14" x14ac:dyDescent="0.25">
      <c r="G195" s="2">
        <v>192</v>
      </c>
      <c r="H195" s="2">
        <f t="shared" ref="H195:H258" si="22">IF(G195&lt;POC_BOD,-1*$K195/2,IF(G195=POC_BOD,0,NA()))</f>
        <v>-787.74615200583492</v>
      </c>
      <c r="I195" s="2">
        <f t="shared" ref="I195:I258" si="23">IF(G195&lt;=POC_BOD,$K195/2,IF(G195=POC_BOD,0,NA()))</f>
        <v>787.74615200583492</v>
      </c>
      <c r="J195" s="2">
        <f t="shared" ref="J195:J258" si="24">IF(G195&lt;=POC_BOD,DN_KRUH/POC_BOD*G195,"")</f>
        <v>384</v>
      </c>
      <c r="K195" s="11">
        <f t="shared" ref="K195:K258" si="25">IF(G195&lt;POC_BOD,2*POWER(POWER(R_KRUH,2)-POWER(ABS(J195-DN_KRUH/2),2),0.5),IF(G195=POC_BOD,0,""))</f>
        <v>1575.4923040116698</v>
      </c>
      <c r="L195" s="2">
        <f t="shared" ref="L195:L258" si="26">IF(G195&lt;=POC_BOD,ABS(J195-DN_KRUH/2),IF(G195=POC_BOD,0,""))</f>
        <v>616</v>
      </c>
      <c r="M195" s="2">
        <f t="shared" si="20"/>
        <v>3147.848497754042</v>
      </c>
      <c r="N195" s="2">
        <f t="shared" si="21"/>
        <v>421837.84831695241</v>
      </c>
    </row>
    <row r="196" spans="7:14" x14ac:dyDescent="0.25">
      <c r="G196" s="2">
        <v>193</v>
      </c>
      <c r="H196" s="2">
        <f t="shared" si="22"/>
        <v>-789.30602430236149</v>
      </c>
      <c r="I196" s="2">
        <f t="shared" si="23"/>
        <v>789.30602430236149</v>
      </c>
      <c r="J196" s="2">
        <f t="shared" si="24"/>
        <v>386</v>
      </c>
      <c r="K196" s="11">
        <f t="shared" si="25"/>
        <v>1578.612048604723</v>
      </c>
      <c r="L196" s="2">
        <f t="shared" si="26"/>
        <v>614</v>
      </c>
      <c r="M196" s="2">
        <f t="shared" ref="M196:M259" si="27">IF(G195&lt;=POC_BOD,(K195+K196)/2*(J196-J195),"")</f>
        <v>3154.104352616393</v>
      </c>
      <c r="N196" s="2">
        <f t="shared" ref="N196:N259" si="28">IF(G195&lt;=POC_BOD,((K195+K196)/2*(J196-J195))+N195,"")</f>
        <v>424991.95266956883</v>
      </c>
    </row>
    <row r="197" spans="7:14" x14ac:dyDescent="0.25">
      <c r="G197" s="2">
        <v>194</v>
      </c>
      <c r="H197" s="2">
        <f t="shared" si="22"/>
        <v>-790.857762179774</v>
      </c>
      <c r="I197" s="2">
        <f t="shared" si="23"/>
        <v>790.857762179774</v>
      </c>
      <c r="J197" s="2">
        <f t="shared" si="24"/>
        <v>388</v>
      </c>
      <c r="K197" s="11">
        <f t="shared" si="25"/>
        <v>1581.715524359548</v>
      </c>
      <c r="L197" s="2">
        <f t="shared" si="26"/>
        <v>612</v>
      </c>
      <c r="M197" s="2">
        <f t="shared" si="27"/>
        <v>3160.327572964271</v>
      </c>
      <c r="N197" s="2">
        <f t="shared" si="28"/>
        <v>428152.28024253307</v>
      </c>
    </row>
    <row r="198" spans="7:14" x14ac:dyDescent="0.25">
      <c r="G198" s="2">
        <v>195</v>
      </c>
      <c r="H198" s="2">
        <f t="shared" si="22"/>
        <v>-792.40141342630125</v>
      </c>
      <c r="I198" s="2">
        <f t="shared" si="23"/>
        <v>792.40141342630125</v>
      </c>
      <c r="J198" s="2">
        <f t="shared" si="24"/>
        <v>390</v>
      </c>
      <c r="K198" s="11">
        <f t="shared" si="25"/>
        <v>1584.8028268526025</v>
      </c>
      <c r="L198" s="2">
        <f t="shared" si="26"/>
        <v>610</v>
      </c>
      <c r="M198" s="2">
        <f t="shared" si="27"/>
        <v>3166.5183512121503</v>
      </c>
      <c r="N198" s="2">
        <f t="shared" si="28"/>
        <v>431318.79859374522</v>
      </c>
    </row>
    <row r="199" spans="7:14" x14ac:dyDescent="0.25">
      <c r="G199" s="2">
        <v>196</v>
      </c>
      <c r="H199" s="2">
        <f t="shared" si="22"/>
        <v>-793.93702521043826</v>
      </c>
      <c r="I199" s="2">
        <f t="shared" si="23"/>
        <v>793.93702521043826</v>
      </c>
      <c r="J199" s="2">
        <f t="shared" si="24"/>
        <v>392</v>
      </c>
      <c r="K199" s="11">
        <f t="shared" si="25"/>
        <v>1587.8740504208765</v>
      </c>
      <c r="L199" s="2">
        <f t="shared" si="26"/>
        <v>608</v>
      </c>
      <c r="M199" s="2">
        <f t="shared" si="27"/>
        <v>3172.676877273479</v>
      </c>
      <c r="N199" s="2">
        <f t="shared" si="28"/>
        <v>434491.4754710187</v>
      </c>
    </row>
    <row r="200" spans="7:14" x14ac:dyDescent="0.25">
      <c r="G200" s="2">
        <v>197</v>
      </c>
      <c r="H200" s="2">
        <f t="shared" si="22"/>
        <v>-795.46464409174087</v>
      </c>
      <c r="I200" s="2">
        <f t="shared" si="23"/>
        <v>795.46464409174087</v>
      </c>
      <c r="J200" s="2">
        <f t="shared" si="24"/>
        <v>394</v>
      </c>
      <c r="K200" s="11">
        <f t="shared" si="25"/>
        <v>1590.9292881834817</v>
      </c>
      <c r="L200" s="2">
        <f t="shared" si="26"/>
        <v>606</v>
      </c>
      <c r="M200" s="2">
        <f t="shared" si="27"/>
        <v>3178.803338604358</v>
      </c>
      <c r="N200" s="2">
        <f t="shared" si="28"/>
        <v>437670.27880962304</v>
      </c>
    </row>
    <row r="201" spans="7:14" x14ac:dyDescent="0.25">
      <c r="G201" s="2">
        <v>198</v>
      </c>
      <c r="H201" s="2">
        <f t="shared" si="22"/>
        <v>-796.9843160313759</v>
      </c>
      <c r="I201" s="2">
        <f t="shared" si="23"/>
        <v>796.9843160313759</v>
      </c>
      <c r="J201" s="2">
        <f t="shared" si="24"/>
        <v>396</v>
      </c>
      <c r="K201" s="11">
        <f t="shared" si="25"/>
        <v>1593.9686320627518</v>
      </c>
      <c r="L201" s="2">
        <f t="shared" si="26"/>
        <v>604</v>
      </c>
      <c r="M201" s="2">
        <f t="shared" si="27"/>
        <v>3184.8979202462333</v>
      </c>
      <c r="N201" s="2">
        <f t="shared" si="28"/>
        <v>440855.17672986927</v>
      </c>
    </row>
    <row r="202" spans="7:14" x14ac:dyDescent="0.25">
      <c r="G202" s="2">
        <v>199</v>
      </c>
      <c r="H202" s="2">
        <f t="shared" si="22"/>
        <v>-798.49608640243196</v>
      </c>
      <c r="I202" s="2">
        <f t="shared" si="23"/>
        <v>798.49608640243196</v>
      </c>
      <c r="J202" s="2">
        <f t="shared" si="24"/>
        <v>398</v>
      </c>
      <c r="K202" s="11">
        <f t="shared" si="25"/>
        <v>1596.9921728048639</v>
      </c>
      <c r="L202" s="2">
        <f t="shared" si="26"/>
        <v>602</v>
      </c>
      <c r="M202" s="2">
        <f t="shared" si="27"/>
        <v>3190.9608048676155</v>
      </c>
      <c r="N202" s="2">
        <f t="shared" si="28"/>
        <v>444046.13753473689</v>
      </c>
    </row>
    <row r="203" spans="7:14" x14ac:dyDescent="0.25">
      <c r="G203" s="2">
        <v>200</v>
      </c>
      <c r="H203" s="2">
        <f t="shared" si="22"/>
        <v>-800</v>
      </c>
      <c r="I203" s="2">
        <f t="shared" si="23"/>
        <v>800</v>
      </c>
      <c r="J203" s="2">
        <f t="shared" si="24"/>
        <v>400</v>
      </c>
      <c r="K203" s="11">
        <f t="shared" si="25"/>
        <v>1600</v>
      </c>
      <c r="L203" s="2">
        <f t="shared" si="26"/>
        <v>600</v>
      </c>
      <c r="M203" s="2">
        <f t="shared" si="27"/>
        <v>3196.9921728048639</v>
      </c>
      <c r="N203" s="2">
        <f t="shared" si="28"/>
        <v>447243.12970754172</v>
      </c>
    </row>
    <row r="204" spans="7:14" x14ac:dyDescent="0.25">
      <c r="G204" s="2">
        <v>201</v>
      </c>
      <c r="H204" s="2">
        <f t="shared" si="22"/>
        <v>-801.49610105102818</v>
      </c>
      <c r="I204" s="2">
        <f t="shared" si="23"/>
        <v>801.49610105102818</v>
      </c>
      <c r="J204" s="2">
        <f t="shared" si="24"/>
        <v>402</v>
      </c>
      <c r="K204" s="11">
        <f t="shared" si="25"/>
        <v>1602.9922021020564</v>
      </c>
      <c r="L204" s="2">
        <f t="shared" si="26"/>
        <v>598</v>
      </c>
      <c r="M204" s="2">
        <f t="shared" si="27"/>
        <v>3202.9922021020566</v>
      </c>
      <c r="N204" s="2">
        <f t="shared" si="28"/>
        <v>450446.12190964376</v>
      </c>
    </row>
    <row r="205" spans="7:14" x14ac:dyDescent="0.25">
      <c r="G205" s="2">
        <v>202</v>
      </c>
      <c r="H205" s="2">
        <f t="shared" si="22"/>
        <v>-802.98443322395735</v>
      </c>
      <c r="I205" s="2">
        <f t="shared" si="23"/>
        <v>802.98443322395735</v>
      </c>
      <c r="J205" s="2">
        <f t="shared" si="24"/>
        <v>404</v>
      </c>
      <c r="K205" s="11">
        <f t="shared" si="25"/>
        <v>1605.9688664479147</v>
      </c>
      <c r="L205" s="2">
        <f t="shared" si="26"/>
        <v>596</v>
      </c>
      <c r="M205" s="2">
        <f t="shared" si="27"/>
        <v>3208.9610685499711</v>
      </c>
      <c r="N205" s="2">
        <f t="shared" si="28"/>
        <v>453655.08297819371</v>
      </c>
    </row>
    <row r="206" spans="7:14" x14ac:dyDescent="0.25">
      <c r="G206" s="2">
        <v>203</v>
      </c>
      <c r="H206" s="2">
        <f t="shared" si="22"/>
        <v>-804.46503963814359</v>
      </c>
      <c r="I206" s="2">
        <f t="shared" si="23"/>
        <v>804.46503963814359</v>
      </c>
      <c r="J206" s="2">
        <f t="shared" si="24"/>
        <v>406</v>
      </c>
      <c r="K206" s="11">
        <f t="shared" si="25"/>
        <v>1608.9300792762872</v>
      </c>
      <c r="L206" s="2">
        <f t="shared" si="26"/>
        <v>594</v>
      </c>
      <c r="M206" s="2">
        <f t="shared" si="27"/>
        <v>3214.8989457242019</v>
      </c>
      <c r="N206" s="2">
        <f t="shared" si="28"/>
        <v>456869.98192391789</v>
      </c>
    </row>
    <row r="207" spans="7:14" x14ac:dyDescent="0.25">
      <c r="G207" s="2">
        <v>204</v>
      </c>
      <c r="H207" s="2">
        <f t="shared" si="22"/>
        <v>-805.93796287307373</v>
      </c>
      <c r="I207" s="2">
        <f t="shared" si="23"/>
        <v>805.93796287307373</v>
      </c>
      <c r="J207" s="2">
        <f t="shared" si="24"/>
        <v>408</v>
      </c>
      <c r="K207" s="11">
        <f t="shared" si="25"/>
        <v>1611.8759257461475</v>
      </c>
      <c r="L207" s="2">
        <f t="shared" si="26"/>
        <v>592</v>
      </c>
      <c r="M207" s="2">
        <f t="shared" si="27"/>
        <v>3220.8060050224349</v>
      </c>
      <c r="N207" s="2">
        <f t="shared" si="28"/>
        <v>460090.78792894032</v>
      </c>
    </row>
    <row r="208" spans="7:14" x14ac:dyDescent="0.25">
      <c r="G208" s="2">
        <v>205</v>
      </c>
      <c r="H208" s="2">
        <f t="shared" si="22"/>
        <v>-807.40324497737811</v>
      </c>
      <c r="I208" s="2">
        <f t="shared" si="23"/>
        <v>807.40324497737811</v>
      </c>
      <c r="J208" s="2">
        <f t="shared" si="24"/>
        <v>410</v>
      </c>
      <c r="K208" s="11">
        <f t="shared" si="25"/>
        <v>1614.8064899547562</v>
      </c>
      <c r="L208" s="2">
        <f t="shared" si="26"/>
        <v>590</v>
      </c>
      <c r="M208" s="2">
        <f t="shared" si="27"/>
        <v>3226.6824157009037</v>
      </c>
      <c r="N208" s="2">
        <f t="shared" si="28"/>
        <v>463317.47034464125</v>
      </c>
    </row>
    <row r="209" spans="7:14" x14ac:dyDescent="0.25">
      <c r="G209" s="2">
        <v>206</v>
      </c>
      <c r="H209" s="2">
        <f t="shared" si="22"/>
        <v>-808.86092747764746</v>
      </c>
      <c r="I209" s="2">
        <f t="shared" si="23"/>
        <v>808.86092747764746</v>
      </c>
      <c r="J209" s="2">
        <f t="shared" si="24"/>
        <v>412</v>
      </c>
      <c r="K209" s="11">
        <f t="shared" si="25"/>
        <v>1617.7218549552949</v>
      </c>
      <c r="L209" s="2">
        <f t="shared" si="26"/>
        <v>588</v>
      </c>
      <c r="M209" s="2">
        <f t="shared" si="27"/>
        <v>3232.5283449100511</v>
      </c>
      <c r="N209" s="2">
        <f t="shared" si="28"/>
        <v>466549.99868955131</v>
      </c>
    </row>
    <row r="210" spans="7:14" x14ac:dyDescent="0.25">
      <c r="G210" s="2">
        <v>207</v>
      </c>
      <c r="H210" s="2">
        <f t="shared" si="22"/>
        <v>-810.31105138705846</v>
      </c>
      <c r="I210" s="2">
        <f t="shared" si="23"/>
        <v>810.31105138705846</v>
      </c>
      <c r="J210" s="2">
        <f t="shared" si="24"/>
        <v>414</v>
      </c>
      <c r="K210" s="11">
        <f t="shared" si="25"/>
        <v>1620.6221027741169</v>
      </c>
      <c r="L210" s="2">
        <f t="shared" si="26"/>
        <v>586</v>
      </c>
      <c r="M210" s="2">
        <f t="shared" si="27"/>
        <v>3238.3439577294121</v>
      </c>
      <c r="N210" s="2">
        <f t="shared" si="28"/>
        <v>469788.34264728072</v>
      </c>
    </row>
    <row r="211" spans="7:14" x14ac:dyDescent="0.25">
      <c r="G211" s="2">
        <v>208</v>
      </c>
      <c r="H211" s="2">
        <f t="shared" si="22"/>
        <v>-811.75365721381263</v>
      </c>
      <c r="I211" s="2">
        <f t="shared" si="23"/>
        <v>811.75365721381263</v>
      </c>
      <c r="J211" s="2">
        <f t="shared" si="24"/>
        <v>416</v>
      </c>
      <c r="K211" s="11">
        <f t="shared" si="25"/>
        <v>1623.5073144276253</v>
      </c>
      <c r="L211" s="2">
        <f t="shared" si="26"/>
        <v>584</v>
      </c>
      <c r="M211" s="2">
        <f t="shared" si="27"/>
        <v>3244.1294172017424</v>
      </c>
      <c r="N211" s="2">
        <f t="shared" si="28"/>
        <v>473032.47206448246</v>
      </c>
    </row>
    <row r="212" spans="7:14" x14ac:dyDescent="0.25">
      <c r="G212" s="2">
        <v>209</v>
      </c>
      <c r="H212" s="2">
        <f t="shared" si="22"/>
        <v>-813.18878496939442</v>
      </c>
      <c r="I212" s="2">
        <f t="shared" si="23"/>
        <v>813.18878496939442</v>
      </c>
      <c r="J212" s="2">
        <f t="shared" si="24"/>
        <v>418</v>
      </c>
      <c r="K212" s="11">
        <f t="shared" si="25"/>
        <v>1626.3775699387888</v>
      </c>
      <c r="L212" s="2">
        <f t="shared" si="26"/>
        <v>582</v>
      </c>
      <c r="M212" s="2">
        <f t="shared" si="27"/>
        <v>3249.8848843664141</v>
      </c>
      <c r="N212" s="2">
        <f t="shared" si="28"/>
        <v>476282.35694884887</v>
      </c>
    </row>
    <row r="213" spans="7:14" x14ac:dyDescent="0.25">
      <c r="G213" s="2">
        <v>210</v>
      </c>
      <c r="H213" s="2">
        <f t="shared" si="22"/>
        <v>-814.61647417665199</v>
      </c>
      <c r="I213" s="2">
        <f t="shared" si="23"/>
        <v>814.61647417665199</v>
      </c>
      <c r="J213" s="2">
        <f t="shared" si="24"/>
        <v>420</v>
      </c>
      <c r="K213" s="11">
        <f t="shared" si="25"/>
        <v>1629.232948353304</v>
      </c>
      <c r="L213" s="2">
        <f t="shared" si="26"/>
        <v>580</v>
      </c>
      <c r="M213" s="2">
        <f t="shared" si="27"/>
        <v>3255.6105182920928</v>
      </c>
      <c r="N213" s="2">
        <f t="shared" si="28"/>
        <v>479537.96746714099</v>
      </c>
    </row>
    <row r="214" spans="7:14" x14ac:dyDescent="0.25">
      <c r="G214" s="2">
        <v>211</v>
      </c>
      <c r="H214" s="2">
        <f t="shared" si="22"/>
        <v>-816.03676387770668</v>
      </c>
      <c r="I214" s="2">
        <f t="shared" si="23"/>
        <v>816.03676387770668</v>
      </c>
      <c r="J214" s="2">
        <f t="shared" si="24"/>
        <v>422</v>
      </c>
      <c r="K214" s="11">
        <f t="shared" si="25"/>
        <v>1632.0735277554134</v>
      </c>
      <c r="L214" s="2">
        <f t="shared" si="26"/>
        <v>578</v>
      </c>
      <c r="M214" s="2">
        <f t="shared" si="27"/>
        <v>3261.3064761087171</v>
      </c>
      <c r="N214" s="2">
        <f t="shared" si="28"/>
        <v>482799.27394324972</v>
      </c>
    </row>
    <row r="215" spans="7:14" x14ac:dyDescent="0.25">
      <c r="G215" s="2">
        <v>212</v>
      </c>
      <c r="H215" s="2">
        <f t="shared" si="22"/>
        <v>-817.44969264169401</v>
      </c>
      <c r="I215" s="2">
        <f t="shared" si="23"/>
        <v>817.44969264169401</v>
      </c>
      <c r="J215" s="2">
        <f t="shared" si="24"/>
        <v>424</v>
      </c>
      <c r="K215" s="11">
        <f t="shared" si="25"/>
        <v>1634.899385283388</v>
      </c>
      <c r="L215" s="2">
        <f t="shared" si="26"/>
        <v>576</v>
      </c>
      <c r="M215" s="2">
        <f t="shared" si="27"/>
        <v>3266.9729130388014</v>
      </c>
      <c r="N215" s="2">
        <f t="shared" si="28"/>
        <v>486066.24685628852</v>
      </c>
    </row>
    <row r="216" spans="7:14" x14ac:dyDescent="0.25">
      <c r="G216" s="2">
        <v>213</v>
      </c>
      <c r="H216" s="2">
        <f t="shared" si="22"/>
        <v>-818.85529857234235</v>
      </c>
      <c r="I216" s="2">
        <f t="shared" si="23"/>
        <v>818.85529857234235</v>
      </c>
      <c r="J216" s="2">
        <f t="shared" si="24"/>
        <v>426</v>
      </c>
      <c r="K216" s="11">
        <f t="shared" si="25"/>
        <v>1637.7105971446847</v>
      </c>
      <c r="L216" s="2">
        <f t="shared" si="26"/>
        <v>574</v>
      </c>
      <c r="M216" s="2">
        <f t="shared" si="27"/>
        <v>3272.6099824280727</v>
      </c>
      <c r="N216" s="2">
        <f t="shared" si="28"/>
        <v>489338.8568387166</v>
      </c>
    </row>
    <row r="217" spans="7:14" x14ac:dyDescent="0.25">
      <c r="G217" s="2">
        <v>214</v>
      </c>
      <c r="H217" s="2">
        <f t="shared" si="22"/>
        <v>-820.25361931539203</v>
      </c>
      <c r="I217" s="2">
        <f t="shared" si="23"/>
        <v>820.25361931539203</v>
      </c>
      <c r="J217" s="2">
        <f t="shared" si="24"/>
        <v>428</v>
      </c>
      <c r="K217" s="11">
        <f t="shared" si="25"/>
        <v>1640.5072386307841</v>
      </c>
      <c r="L217" s="2">
        <f t="shared" si="26"/>
        <v>572</v>
      </c>
      <c r="M217" s="2">
        <f t="shared" si="27"/>
        <v>3278.2178357754688</v>
      </c>
      <c r="N217" s="2">
        <f t="shared" si="28"/>
        <v>492617.07467449206</v>
      </c>
    </row>
    <row r="218" spans="7:14" x14ac:dyDescent="0.25">
      <c r="G218" s="2">
        <v>215</v>
      </c>
      <c r="H218" s="2">
        <f t="shared" si="22"/>
        <v>-821.64469206585886</v>
      </c>
      <c r="I218" s="2">
        <f t="shared" si="23"/>
        <v>821.64469206585886</v>
      </c>
      <c r="J218" s="2">
        <f t="shared" si="24"/>
        <v>430</v>
      </c>
      <c r="K218" s="11">
        <f t="shared" si="25"/>
        <v>1643.2893841317177</v>
      </c>
      <c r="L218" s="2">
        <f t="shared" si="26"/>
        <v>570</v>
      </c>
      <c r="M218" s="2">
        <f t="shared" si="27"/>
        <v>3283.796622762502</v>
      </c>
      <c r="N218" s="2">
        <f t="shared" si="28"/>
        <v>495900.87129725458</v>
      </c>
    </row>
    <row r="219" spans="7:14" x14ac:dyDescent="0.25">
      <c r="G219" s="2">
        <v>216</v>
      </c>
      <c r="H219" s="2">
        <f t="shared" si="22"/>
        <v>-823.02855357514784</v>
      </c>
      <c r="I219" s="2">
        <f t="shared" si="23"/>
        <v>823.02855357514784</v>
      </c>
      <c r="J219" s="2">
        <f t="shared" si="24"/>
        <v>432</v>
      </c>
      <c r="K219" s="11">
        <f t="shared" si="25"/>
        <v>1646.0571071502957</v>
      </c>
      <c r="L219" s="2">
        <f t="shared" si="26"/>
        <v>568</v>
      </c>
      <c r="M219" s="2">
        <f t="shared" si="27"/>
        <v>3289.3464912820136</v>
      </c>
      <c r="N219" s="2">
        <f t="shared" si="28"/>
        <v>499190.21778853657</v>
      </c>
    </row>
    <row r="220" spans="7:14" x14ac:dyDescent="0.25">
      <c r="G220" s="2">
        <v>217</v>
      </c>
      <c r="H220" s="2">
        <f t="shared" si="22"/>
        <v>-824.40524015801839</v>
      </c>
      <c r="I220" s="2">
        <f t="shared" si="23"/>
        <v>824.40524015801839</v>
      </c>
      <c r="J220" s="2">
        <f t="shared" si="24"/>
        <v>434</v>
      </c>
      <c r="K220" s="11">
        <f t="shared" si="25"/>
        <v>1648.8104803160368</v>
      </c>
      <c r="L220" s="2">
        <f t="shared" si="26"/>
        <v>566</v>
      </c>
      <c r="M220" s="2">
        <f t="shared" si="27"/>
        <v>3294.8675874663322</v>
      </c>
      <c r="N220" s="2">
        <f t="shared" si="28"/>
        <v>502485.08537600288</v>
      </c>
    </row>
    <row r="221" spans="7:14" x14ac:dyDescent="0.25">
      <c r="G221" s="2">
        <v>218</v>
      </c>
      <c r="H221" s="2">
        <f t="shared" si="22"/>
        <v>-825.7747876994066</v>
      </c>
      <c r="I221" s="2">
        <f t="shared" si="23"/>
        <v>825.7747876994066</v>
      </c>
      <c r="J221" s="2">
        <f t="shared" si="24"/>
        <v>436</v>
      </c>
      <c r="K221" s="11">
        <f t="shared" si="25"/>
        <v>1651.5495753988132</v>
      </c>
      <c r="L221" s="2">
        <f t="shared" si="26"/>
        <v>564</v>
      </c>
      <c r="M221" s="2">
        <f t="shared" si="27"/>
        <v>3300.3600557148502</v>
      </c>
      <c r="N221" s="2">
        <f t="shared" si="28"/>
        <v>505785.44543171773</v>
      </c>
    </row>
    <row r="222" spans="7:14" x14ac:dyDescent="0.25">
      <c r="G222" s="2">
        <v>219</v>
      </c>
      <c r="H222" s="2">
        <f t="shared" si="22"/>
        <v>-827.13723166110708</v>
      </c>
      <c r="I222" s="2">
        <f t="shared" si="23"/>
        <v>827.13723166110708</v>
      </c>
      <c r="J222" s="2">
        <f t="shared" si="24"/>
        <v>438</v>
      </c>
      <c r="K222" s="11">
        <f t="shared" si="25"/>
        <v>1654.2744633222142</v>
      </c>
      <c r="L222" s="2">
        <f t="shared" si="26"/>
        <v>562</v>
      </c>
      <c r="M222" s="2">
        <f t="shared" si="27"/>
        <v>3305.8240387210271</v>
      </c>
      <c r="N222" s="2">
        <f t="shared" si="28"/>
        <v>509091.26947043877</v>
      </c>
    </row>
    <row r="223" spans="7:14" x14ac:dyDescent="0.25">
      <c r="G223" s="2">
        <v>220</v>
      </c>
      <c r="H223" s="2">
        <f t="shared" si="22"/>
        <v>-828.49260708831912</v>
      </c>
      <c r="I223" s="2">
        <f t="shared" si="23"/>
        <v>828.49260708831912</v>
      </c>
      <c r="J223" s="2">
        <f t="shared" si="24"/>
        <v>440</v>
      </c>
      <c r="K223" s="11">
        <f t="shared" si="25"/>
        <v>1656.9852141766382</v>
      </c>
      <c r="L223" s="2">
        <f t="shared" si="26"/>
        <v>560</v>
      </c>
      <c r="M223" s="2">
        <f t="shared" si="27"/>
        <v>3311.2596774988524</v>
      </c>
      <c r="N223" s="2">
        <f t="shared" si="28"/>
        <v>512402.5291479376</v>
      </c>
    </row>
    <row r="224" spans="7:14" x14ac:dyDescent="0.25">
      <c r="G224" s="2">
        <v>221</v>
      </c>
      <c r="H224" s="2">
        <f t="shared" si="22"/>
        <v>-829.84094861605854</v>
      </c>
      <c r="I224" s="2">
        <f t="shared" si="23"/>
        <v>829.84094861605854</v>
      </c>
      <c r="J224" s="2">
        <f t="shared" si="24"/>
        <v>442</v>
      </c>
      <c r="K224" s="11">
        <f t="shared" si="25"/>
        <v>1659.6818972321171</v>
      </c>
      <c r="L224" s="2">
        <f t="shared" si="26"/>
        <v>558</v>
      </c>
      <c r="M224" s="2">
        <f t="shared" si="27"/>
        <v>3316.6671114087553</v>
      </c>
      <c r="N224" s="2">
        <f t="shared" si="28"/>
        <v>515719.19625934638</v>
      </c>
    </row>
    <row r="225" spans="7:14" x14ac:dyDescent="0.25">
      <c r="G225" s="2">
        <v>222</v>
      </c>
      <c r="H225" s="2">
        <f t="shared" si="22"/>
        <v>-831.18229047544082</v>
      </c>
      <c r="I225" s="2">
        <f t="shared" si="23"/>
        <v>831.18229047544082</v>
      </c>
      <c r="J225" s="2">
        <f t="shared" si="24"/>
        <v>444</v>
      </c>
      <c r="K225" s="11">
        <f t="shared" si="25"/>
        <v>1662.3645809508816</v>
      </c>
      <c r="L225" s="2">
        <f t="shared" si="26"/>
        <v>556</v>
      </c>
      <c r="M225" s="2">
        <f t="shared" si="27"/>
        <v>3322.0464781829987</v>
      </c>
      <c r="N225" s="2">
        <f t="shared" si="28"/>
        <v>519041.24273752939</v>
      </c>
    </row>
    <row r="226" spans="7:14" x14ac:dyDescent="0.25">
      <c r="G226" s="2">
        <v>223</v>
      </c>
      <c r="H226" s="2">
        <f t="shared" si="22"/>
        <v>-832.51666649983656</v>
      </c>
      <c r="I226" s="2">
        <f t="shared" si="23"/>
        <v>832.51666649983656</v>
      </c>
      <c r="J226" s="2">
        <f t="shared" si="24"/>
        <v>446</v>
      </c>
      <c r="K226" s="11">
        <f t="shared" si="25"/>
        <v>1665.0333329996731</v>
      </c>
      <c r="L226" s="2">
        <f t="shared" si="26"/>
        <v>554</v>
      </c>
      <c r="M226" s="2">
        <f t="shared" si="27"/>
        <v>3327.3979139505545</v>
      </c>
      <c r="N226" s="2">
        <f t="shared" si="28"/>
        <v>522368.64065147995</v>
      </c>
    </row>
    <row r="227" spans="7:14" x14ac:dyDescent="0.25">
      <c r="G227" s="2">
        <v>224</v>
      </c>
      <c r="H227" s="2">
        <f t="shared" si="22"/>
        <v>-833.84411013090448</v>
      </c>
      <c r="I227" s="2">
        <f t="shared" si="23"/>
        <v>833.84411013090448</v>
      </c>
      <c r="J227" s="2">
        <f t="shared" si="24"/>
        <v>448</v>
      </c>
      <c r="K227" s="11">
        <f t="shared" si="25"/>
        <v>1667.688220261809</v>
      </c>
      <c r="L227" s="2">
        <f t="shared" si="26"/>
        <v>552</v>
      </c>
      <c r="M227" s="2">
        <f t="shared" si="27"/>
        <v>3332.7215532614819</v>
      </c>
      <c r="N227" s="2">
        <f t="shared" si="28"/>
        <v>525701.36220474145</v>
      </c>
    </row>
    <row r="228" spans="7:14" x14ac:dyDescent="0.25">
      <c r="G228" s="2">
        <v>225</v>
      </c>
      <c r="H228" s="2">
        <f t="shared" si="22"/>
        <v>-835.16465442450328</v>
      </c>
      <c r="I228" s="2">
        <f t="shared" si="23"/>
        <v>835.16465442450328</v>
      </c>
      <c r="J228" s="2">
        <f t="shared" si="24"/>
        <v>450</v>
      </c>
      <c r="K228" s="11">
        <f t="shared" si="25"/>
        <v>1670.3293088490066</v>
      </c>
      <c r="L228" s="2">
        <f t="shared" si="26"/>
        <v>550</v>
      </c>
      <c r="M228" s="2">
        <f t="shared" si="27"/>
        <v>3338.0175291108153</v>
      </c>
      <c r="N228" s="2">
        <f t="shared" si="28"/>
        <v>529039.37973385223</v>
      </c>
    </row>
    <row r="229" spans="7:14" x14ac:dyDescent="0.25">
      <c r="G229" s="2">
        <v>226</v>
      </c>
      <c r="H229" s="2">
        <f t="shared" si="22"/>
        <v>-836.47833205648544</v>
      </c>
      <c r="I229" s="2">
        <f t="shared" si="23"/>
        <v>836.47833205648544</v>
      </c>
      <c r="J229" s="2">
        <f t="shared" si="24"/>
        <v>452</v>
      </c>
      <c r="K229" s="11">
        <f t="shared" si="25"/>
        <v>1672.9566641129709</v>
      </c>
      <c r="L229" s="2">
        <f t="shared" si="26"/>
        <v>548</v>
      </c>
      <c r="M229" s="2">
        <f t="shared" si="27"/>
        <v>3343.2859729619777</v>
      </c>
      <c r="N229" s="2">
        <f t="shared" si="28"/>
        <v>532382.66570681415</v>
      </c>
    </row>
    <row r="230" spans="7:14" x14ac:dyDescent="0.25">
      <c r="G230" s="2">
        <v>227</v>
      </c>
      <c r="H230" s="2">
        <f t="shared" si="22"/>
        <v>-837.78517532837736</v>
      </c>
      <c r="I230" s="2">
        <f t="shared" si="23"/>
        <v>837.78517532837736</v>
      </c>
      <c r="J230" s="2">
        <f t="shared" si="24"/>
        <v>454</v>
      </c>
      <c r="K230" s="11">
        <f t="shared" si="25"/>
        <v>1675.5703506567547</v>
      </c>
      <c r="L230" s="2">
        <f t="shared" si="26"/>
        <v>546</v>
      </c>
      <c r="M230" s="2">
        <f t="shared" si="27"/>
        <v>3348.5270147697256</v>
      </c>
      <c r="N230" s="2">
        <f t="shared" si="28"/>
        <v>535731.19272158388</v>
      </c>
    </row>
    <row r="231" spans="7:14" x14ac:dyDescent="0.25">
      <c r="G231" s="2">
        <v>228</v>
      </c>
      <c r="H231" s="2">
        <f t="shared" si="22"/>
        <v>-839.08521617294628</v>
      </c>
      <c r="I231" s="2">
        <f t="shared" si="23"/>
        <v>839.08521617294628</v>
      </c>
      <c r="J231" s="2">
        <f t="shared" si="24"/>
        <v>456</v>
      </c>
      <c r="K231" s="11">
        <f t="shared" si="25"/>
        <v>1678.1704323458926</v>
      </c>
      <c r="L231" s="2">
        <f t="shared" si="26"/>
        <v>544</v>
      </c>
      <c r="M231" s="2">
        <f t="shared" si="27"/>
        <v>3353.7407830026473</v>
      </c>
      <c r="N231" s="2">
        <f t="shared" si="28"/>
        <v>539084.93350458657</v>
      </c>
    </row>
    <row r="232" spans="7:14" x14ac:dyDescent="0.25">
      <c r="G232" s="2">
        <v>229</v>
      </c>
      <c r="H232" s="2">
        <f t="shared" si="22"/>
        <v>-840.37848615965891</v>
      </c>
      <c r="I232" s="2">
        <f t="shared" si="23"/>
        <v>840.37848615965891</v>
      </c>
      <c r="J232" s="2">
        <f t="shared" si="24"/>
        <v>458</v>
      </c>
      <c r="K232" s="11">
        <f t="shared" si="25"/>
        <v>1680.7569723193178</v>
      </c>
      <c r="L232" s="2">
        <f t="shared" si="26"/>
        <v>542</v>
      </c>
      <c r="M232" s="2">
        <f t="shared" si="27"/>
        <v>3358.9274046652104</v>
      </c>
      <c r="N232" s="2">
        <f t="shared" si="28"/>
        <v>542443.86090925173</v>
      </c>
    </row>
    <row r="233" spans="7:14" x14ac:dyDescent="0.25">
      <c r="G233" s="2">
        <v>230</v>
      </c>
      <c r="H233" s="2">
        <f t="shared" si="22"/>
        <v>-841.66501650003249</v>
      </c>
      <c r="I233" s="2">
        <f t="shared" si="23"/>
        <v>841.66501650003249</v>
      </c>
      <c r="J233" s="2">
        <f t="shared" si="24"/>
        <v>460</v>
      </c>
      <c r="K233" s="11">
        <f t="shared" si="25"/>
        <v>1683.330033000065</v>
      </c>
      <c r="L233" s="2">
        <f t="shared" si="26"/>
        <v>540</v>
      </c>
      <c r="M233" s="2">
        <f t="shared" si="27"/>
        <v>3364.087005319383</v>
      </c>
      <c r="N233" s="2">
        <f t="shared" si="28"/>
        <v>545807.94791457115</v>
      </c>
    </row>
    <row r="234" spans="7:14" x14ac:dyDescent="0.25">
      <c r="G234" s="2">
        <v>231</v>
      </c>
      <c r="H234" s="2">
        <f t="shared" si="22"/>
        <v>-842.94483805288235</v>
      </c>
      <c r="I234" s="2">
        <f t="shared" si="23"/>
        <v>842.94483805288235</v>
      </c>
      <c r="J234" s="2">
        <f t="shared" si="24"/>
        <v>462</v>
      </c>
      <c r="K234" s="11">
        <f t="shared" si="25"/>
        <v>1685.8896761057647</v>
      </c>
      <c r="L234" s="2">
        <f t="shared" si="26"/>
        <v>538</v>
      </c>
      <c r="M234" s="2">
        <f t="shared" si="27"/>
        <v>3369.2197091058297</v>
      </c>
      <c r="N234" s="2">
        <f t="shared" si="28"/>
        <v>549177.16762367694</v>
      </c>
    </row>
    <row r="235" spans="7:14" x14ac:dyDescent="0.25">
      <c r="G235" s="2">
        <v>232</v>
      </c>
      <c r="H235" s="2">
        <f t="shared" si="22"/>
        <v>-844.21798132946685</v>
      </c>
      <c r="I235" s="2">
        <f t="shared" si="23"/>
        <v>844.21798132946685</v>
      </c>
      <c r="J235" s="2">
        <f t="shared" si="24"/>
        <v>464</v>
      </c>
      <c r="K235" s="11">
        <f t="shared" si="25"/>
        <v>1688.4359626589337</v>
      </c>
      <c r="L235" s="2">
        <f t="shared" si="26"/>
        <v>536</v>
      </c>
      <c r="M235" s="2">
        <f t="shared" si="27"/>
        <v>3374.3256387646984</v>
      </c>
      <c r="N235" s="2">
        <f t="shared" si="28"/>
        <v>552551.4932624416</v>
      </c>
    </row>
    <row r="236" spans="7:14" x14ac:dyDescent="0.25">
      <c r="G236" s="2">
        <v>233</v>
      </c>
      <c r="H236" s="2">
        <f t="shared" si="22"/>
        <v>-845.48447649853392</v>
      </c>
      <c r="I236" s="2">
        <f t="shared" si="23"/>
        <v>845.48447649853392</v>
      </c>
      <c r="J236" s="2">
        <f t="shared" si="24"/>
        <v>466</v>
      </c>
      <c r="K236" s="11">
        <f t="shared" si="25"/>
        <v>1690.9689529970678</v>
      </c>
      <c r="L236" s="2">
        <f t="shared" si="26"/>
        <v>534</v>
      </c>
      <c r="M236" s="2">
        <f t="shared" si="27"/>
        <v>3379.4049156560013</v>
      </c>
      <c r="N236" s="2">
        <f t="shared" si="28"/>
        <v>555930.89817809756</v>
      </c>
    </row>
    <row r="237" spans="7:14" x14ac:dyDescent="0.25">
      <c r="G237" s="2">
        <v>234</v>
      </c>
      <c r="H237" s="2">
        <f t="shared" si="22"/>
        <v>-846.74435339127001</v>
      </c>
      <c r="I237" s="2">
        <f t="shared" si="23"/>
        <v>846.74435339127001</v>
      </c>
      <c r="J237" s="2">
        <f t="shared" si="24"/>
        <v>468</v>
      </c>
      <c r="K237" s="11">
        <f t="shared" si="25"/>
        <v>1693.48870678254</v>
      </c>
      <c r="L237" s="2">
        <f t="shared" si="26"/>
        <v>532</v>
      </c>
      <c r="M237" s="2">
        <f t="shared" si="27"/>
        <v>3384.4576597796076</v>
      </c>
      <c r="N237" s="2">
        <f t="shared" si="28"/>
        <v>559315.35583787714</v>
      </c>
    </row>
    <row r="238" spans="7:14" x14ac:dyDescent="0.25">
      <c r="G238" s="2">
        <v>235</v>
      </c>
      <c r="H238" s="2">
        <f t="shared" si="22"/>
        <v>-847.9976415061542</v>
      </c>
      <c r="I238" s="2">
        <f t="shared" si="23"/>
        <v>847.9976415061542</v>
      </c>
      <c r="J238" s="2">
        <f t="shared" si="24"/>
        <v>470</v>
      </c>
      <c r="K238" s="11">
        <f t="shared" si="25"/>
        <v>1695.9952830123084</v>
      </c>
      <c r="L238" s="2">
        <f t="shared" si="26"/>
        <v>530</v>
      </c>
      <c r="M238" s="2">
        <f t="shared" si="27"/>
        <v>3389.4839897948486</v>
      </c>
      <c r="N238" s="2">
        <f t="shared" si="28"/>
        <v>562704.839827672</v>
      </c>
    </row>
    <row r="239" spans="7:14" x14ac:dyDescent="0.25">
      <c r="G239" s="2">
        <v>236</v>
      </c>
      <c r="H239" s="2">
        <f t="shared" si="22"/>
        <v>-849.24437001371996</v>
      </c>
      <c r="I239" s="2">
        <f t="shared" si="23"/>
        <v>849.24437001371996</v>
      </c>
      <c r="J239" s="2">
        <f t="shared" si="24"/>
        <v>472</v>
      </c>
      <c r="K239" s="11">
        <f t="shared" si="25"/>
        <v>1698.4887400274399</v>
      </c>
      <c r="L239" s="2">
        <f t="shared" si="26"/>
        <v>528</v>
      </c>
      <c r="M239" s="2">
        <f t="shared" si="27"/>
        <v>3394.4840230397485</v>
      </c>
      <c r="N239" s="2">
        <f t="shared" si="28"/>
        <v>566099.32385071169</v>
      </c>
    </row>
    <row r="240" spans="7:14" x14ac:dyDescent="0.25">
      <c r="G240" s="2">
        <v>237</v>
      </c>
      <c r="H240" s="2">
        <f t="shared" si="22"/>
        <v>-850.48456776122634</v>
      </c>
      <c r="I240" s="2">
        <f t="shared" si="23"/>
        <v>850.48456776122634</v>
      </c>
      <c r="J240" s="2">
        <f t="shared" si="24"/>
        <v>474</v>
      </c>
      <c r="K240" s="11">
        <f t="shared" si="25"/>
        <v>1700.9691355224527</v>
      </c>
      <c r="L240" s="2">
        <f t="shared" si="26"/>
        <v>526</v>
      </c>
      <c r="M240" s="2">
        <f t="shared" si="27"/>
        <v>3399.4578755498924</v>
      </c>
      <c r="N240" s="2">
        <f t="shared" si="28"/>
        <v>569498.7817262616</v>
      </c>
    </row>
    <row r="241" spans="7:14" x14ac:dyDescent="0.25">
      <c r="G241" s="2">
        <v>238</v>
      </c>
      <c r="H241" s="2">
        <f t="shared" si="22"/>
        <v>-851.71826327724125</v>
      </c>
      <c r="I241" s="2">
        <f t="shared" si="23"/>
        <v>851.71826327724125</v>
      </c>
      <c r="J241" s="2">
        <f t="shared" si="24"/>
        <v>476</v>
      </c>
      <c r="K241" s="11">
        <f t="shared" si="25"/>
        <v>1703.4365265544825</v>
      </c>
      <c r="L241" s="2">
        <f t="shared" si="26"/>
        <v>524</v>
      </c>
      <c r="M241" s="2">
        <f t="shared" si="27"/>
        <v>3404.4056620769352</v>
      </c>
      <c r="N241" s="2">
        <f t="shared" si="28"/>
        <v>572903.1873883385</v>
      </c>
    </row>
    <row r="242" spans="7:14" x14ac:dyDescent="0.25">
      <c r="G242" s="2">
        <v>239</v>
      </c>
      <c r="H242" s="2">
        <f t="shared" si="22"/>
        <v>-852.94548477613739</v>
      </c>
      <c r="I242" s="2">
        <f t="shared" si="23"/>
        <v>852.94548477613739</v>
      </c>
      <c r="J242" s="2">
        <f t="shared" si="24"/>
        <v>478</v>
      </c>
      <c r="K242" s="11">
        <f t="shared" si="25"/>
        <v>1705.8909695522748</v>
      </c>
      <c r="L242" s="2">
        <f t="shared" si="26"/>
        <v>522</v>
      </c>
      <c r="M242" s="2">
        <f t="shared" si="27"/>
        <v>3409.3274961067573</v>
      </c>
      <c r="N242" s="2">
        <f t="shared" si="28"/>
        <v>576312.51488444523</v>
      </c>
    </row>
    <row r="243" spans="7:14" x14ac:dyDescent="0.25">
      <c r="G243" s="2">
        <v>240</v>
      </c>
      <c r="H243" s="2">
        <f t="shared" si="22"/>
        <v>-854.16626016250484</v>
      </c>
      <c r="I243" s="2">
        <f t="shared" si="23"/>
        <v>854.16626016250484</v>
      </c>
      <c r="J243" s="2">
        <f t="shared" si="24"/>
        <v>480</v>
      </c>
      <c r="K243" s="11">
        <f t="shared" si="25"/>
        <v>1708.3325203250097</v>
      </c>
      <c r="L243" s="2">
        <f t="shared" si="26"/>
        <v>520</v>
      </c>
      <c r="M243" s="2">
        <f t="shared" si="27"/>
        <v>3414.2234898772845</v>
      </c>
      <c r="N243" s="2">
        <f t="shared" si="28"/>
        <v>579726.73837432254</v>
      </c>
    </row>
    <row r="244" spans="7:14" x14ac:dyDescent="0.25">
      <c r="G244" s="2">
        <v>241</v>
      </c>
      <c r="H244" s="2">
        <f t="shared" si="22"/>
        <v>-855.3806170354809</v>
      </c>
      <c r="I244" s="2">
        <f t="shared" si="23"/>
        <v>855.3806170354809</v>
      </c>
      <c r="J244" s="2">
        <f t="shared" si="24"/>
        <v>482</v>
      </c>
      <c r="K244" s="11">
        <f t="shared" si="25"/>
        <v>1710.7612340709618</v>
      </c>
      <c r="L244" s="2">
        <f t="shared" si="26"/>
        <v>518</v>
      </c>
      <c r="M244" s="2">
        <f t="shared" si="27"/>
        <v>3419.0937543959717</v>
      </c>
      <c r="N244" s="2">
        <f t="shared" si="28"/>
        <v>583145.8321287185</v>
      </c>
    </row>
    <row r="245" spans="7:14" x14ac:dyDescent="0.25">
      <c r="G245" s="2">
        <v>242</v>
      </c>
      <c r="H245" s="2">
        <f t="shared" si="22"/>
        <v>-856.58858269299856</v>
      </c>
      <c r="I245" s="2">
        <f t="shared" si="23"/>
        <v>856.58858269299856</v>
      </c>
      <c r="J245" s="2">
        <f t="shared" si="24"/>
        <v>484</v>
      </c>
      <c r="K245" s="11">
        <f t="shared" si="25"/>
        <v>1713.1771653859971</v>
      </c>
      <c r="L245" s="2">
        <f t="shared" si="26"/>
        <v>516</v>
      </c>
      <c r="M245" s="2">
        <f t="shared" si="27"/>
        <v>3423.9383994569589</v>
      </c>
      <c r="N245" s="2">
        <f t="shared" si="28"/>
        <v>586569.7705281754</v>
      </c>
    </row>
    <row r="246" spans="7:14" x14ac:dyDescent="0.25">
      <c r="G246" s="2">
        <v>243</v>
      </c>
      <c r="H246" s="2">
        <f t="shared" si="22"/>
        <v>-857.79018413595759</v>
      </c>
      <c r="I246" s="2">
        <f t="shared" si="23"/>
        <v>857.79018413595759</v>
      </c>
      <c r="J246" s="2">
        <f t="shared" si="24"/>
        <v>486</v>
      </c>
      <c r="K246" s="11">
        <f t="shared" si="25"/>
        <v>1715.5803682719152</v>
      </c>
      <c r="L246" s="2">
        <f t="shared" si="26"/>
        <v>514</v>
      </c>
      <c r="M246" s="2">
        <f t="shared" si="27"/>
        <v>3428.7575336579121</v>
      </c>
      <c r="N246" s="2">
        <f t="shared" si="28"/>
        <v>589998.52806183335</v>
      </c>
    </row>
    <row r="247" spans="7:14" x14ac:dyDescent="0.25">
      <c r="G247" s="2">
        <v>244</v>
      </c>
      <c r="H247" s="2">
        <f t="shared" si="22"/>
        <v>-858.98544807231747</v>
      </c>
      <c r="I247" s="2">
        <f t="shared" si="23"/>
        <v>858.98544807231747</v>
      </c>
      <c r="J247" s="2">
        <f t="shared" si="24"/>
        <v>488</v>
      </c>
      <c r="K247" s="11">
        <f t="shared" si="25"/>
        <v>1717.9708961446349</v>
      </c>
      <c r="L247" s="2">
        <f t="shared" si="26"/>
        <v>512</v>
      </c>
      <c r="M247" s="2">
        <f t="shared" si="27"/>
        <v>3433.5512644165501</v>
      </c>
      <c r="N247" s="2">
        <f t="shared" si="28"/>
        <v>593432.07932624989</v>
      </c>
    </row>
    <row r="248" spans="7:14" x14ac:dyDescent="0.25">
      <c r="G248" s="2">
        <v>245</v>
      </c>
      <c r="H248" s="2">
        <f t="shared" si="22"/>
        <v>-860.17440092111553</v>
      </c>
      <c r="I248" s="2">
        <f t="shared" si="23"/>
        <v>860.17440092111553</v>
      </c>
      <c r="J248" s="2">
        <f t="shared" si="24"/>
        <v>490</v>
      </c>
      <c r="K248" s="11">
        <f t="shared" si="25"/>
        <v>1720.3488018422311</v>
      </c>
      <c r="L248" s="2">
        <f t="shared" si="26"/>
        <v>510</v>
      </c>
      <c r="M248" s="2">
        <f t="shared" si="27"/>
        <v>3438.3196979868662</v>
      </c>
      <c r="N248" s="2">
        <f t="shared" si="28"/>
        <v>596870.39902423671</v>
      </c>
    </row>
    <row r="249" spans="7:14" x14ac:dyDescent="0.25">
      <c r="G249" s="2">
        <v>246</v>
      </c>
      <c r="H249" s="2">
        <f t="shared" si="22"/>
        <v>-861.35706881641136</v>
      </c>
      <c r="I249" s="2">
        <f t="shared" si="23"/>
        <v>861.35706881641136</v>
      </c>
      <c r="J249" s="2">
        <f t="shared" si="24"/>
        <v>492</v>
      </c>
      <c r="K249" s="11">
        <f t="shared" si="25"/>
        <v>1722.7141376328227</v>
      </c>
      <c r="L249" s="2">
        <f t="shared" si="26"/>
        <v>508</v>
      </c>
      <c r="M249" s="2">
        <f t="shared" si="27"/>
        <v>3443.062939475054</v>
      </c>
      <c r="N249" s="2">
        <f t="shared" si="28"/>
        <v>600313.46196371177</v>
      </c>
    </row>
    <row r="250" spans="7:14" x14ac:dyDescent="0.25">
      <c r="G250" s="2">
        <v>247</v>
      </c>
      <c r="H250" s="2">
        <f t="shared" si="22"/>
        <v>-862.53347761115913</v>
      </c>
      <c r="I250" s="2">
        <f t="shared" si="23"/>
        <v>862.53347761115913</v>
      </c>
      <c r="J250" s="2">
        <f t="shared" si="24"/>
        <v>494</v>
      </c>
      <c r="K250" s="11">
        <f t="shared" si="25"/>
        <v>1725.0669552223183</v>
      </c>
      <c r="L250" s="2">
        <f t="shared" si="26"/>
        <v>506</v>
      </c>
      <c r="M250" s="2">
        <f t="shared" si="27"/>
        <v>3447.7810928551407</v>
      </c>
      <c r="N250" s="2">
        <f t="shared" si="28"/>
        <v>603761.24305656692</v>
      </c>
    </row>
    <row r="251" spans="7:14" x14ac:dyDescent="0.25">
      <c r="G251" s="2">
        <v>248</v>
      </c>
      <c r="H251" s="2">
        <f t="shared" si="22"/>
        <v>-863.70365288100993</v>
      </c>
      <c r="I251" s="2">
        <f t="shared" si="23"/>
        <v>863.70365288100993</v>
      </c>
      <c r="J251" s="2">
        <f t="shared" si="24"/>
        <v>496</v>
      </c>
      <c r="K251" s="11">
        <f t="shared" si="25"/>
        <v>1727.4073057620199</v>
      </c>
      <c r="L251" s="2">
        <f t="shared" si="26"/>
        <v>504</v>
      </c>
      <c r="M251" s="2">
        <f t="shared" si="27"/>
        <v>3452.4742609843379</v>
      </c>
      <c r="N251" s="2">
        <f t="shared" si="28"/>
        <v>607213.71731755126</v>
      </c>
    </row>
    <row r="252" spans="7:14" x14ac:dyDescent="0.25">
      <c r="G252" s="2">
        <v>249</v>
      </c>
      <c r="H252" s="2">
        <f t="shared" si="22"/>
        <v>-864.86761992804429</v>
      </c>
      <c r="I252" s="2">
        <f t="shared" si="23"/>
        <v>864.86761992804429</v>
      </c>
      <c r="J252" s="2">
        <f t="shared" si="24"/>
        <v>498</v>
      </c>
      <c r="K252" s="11">
        <f t="shared" si="25"/>
        <v>1729.7352398560886</v>
      </c>
      <c r="L252" s="2">
        <f t="shared" si="26"/>
        <v>502</v>
      </c>
      <c r="M252" s="2">
        <f t="shared" si="27"/>
        <v>3457.1425456181087</v>
      </c>
      <c r="N252" s="2">
        <f t="shared" si="28"/>
        <v>610670.85986316937</v>
      </c>
    </row>
    <row r="253" spans="7:14" x14ac:dyDescent="0.25">
      <c r="G253" s="2">
        <v>250</v>
      </c>
      <c r="H253" s="2">
        <f t="shared" si="22"/>
        <v>-866.02540378443859</v>
      </c>
      <c r="I253" s="2">
        <f t="shared" si="23"/>
        <v>866.02540378443859</v>
      </c>
      <c r="J253" s="2">
        <f t="shared" si="24"/>
        <v>500</v>
      </c>
      <c r="K253" s="11">
        <f t="shared" si="25"/>
        <v>1732.0508075688772</v>
      </c>
      <c r="L253" s="2">
        <f t="shared" si="26"/>
        <v>500</v>
      </c>
      <c r="M253" s="2">
        <f t="shared" si="27"/>
        <v>3461.7860474249655</v>
      </c>
      <c r="N253" s="2">
        <f t="shared" si="28"/>
        <v>614132.64591059438</v>
      </c>
    </row>
    <row r="254" spans="7:14" x14ac:dyDescent="0.25">
      <c r="G254" s="2">
        <v>251</v>
      </c>
      <c r="H254" s="2">
        <f t="shared" si="22"/>
        <v>-867.17702921606497</v>
      </c>
      <c r="I254" s="2">
        <f t="shared" si="23"/>
        <v>867.17702921606497</v>
      </c>
      <c r="J254" s="2">
        <f t="shared" si="24"/>
        <v>502</v>
      </c>
      <c r="K254" s="11">
        <f t="shared" si="25"/>
        <v>1734.3540584321299</v>
      </c>
      <c r="L254" s="2">
        <f t="shared" si="26"/>
        <v>498</v>
      </c>
      <c r="M254" s="2">
        <f t="shared" si="27"/>
        <v>3466.4048660010071</v>
      </c>
      <c r="N254" s="2">
        <f t="shared" si="28"/>
        <v>617599.05077659537</v>
      </c>
    </row>
    <row r="255" spans="7:14" x14ac:dyDescent="0.25">
      <c r="G255" s="2">
        <v>252</v>
      </c>
      <c r="H255" s="2">
        <f t="shared" si="22"/>
        <v>-868.32252072602614</v>
      </c>
      <c r="I255" s="2">
        <f t="shared" si="23"/>
        <v>868.32252072602614</v>
      </c>
      <c r="J255" s="2">
        <f t="shared" si="24"/>
        <v>504</v>
      </c>
      <c r="K255" s="11">
        <f t="shared" si="25"/>
        <v>1736.6450414520523</v>
      </c>
      <c r="L255" s="2">
        <f t="shared" si="26"/>
        <v>496</v>
      </c>
      <c r="M255" s="2">
        <f t="shared" si="27"/>
        <v>3470.9990998841822</v>
      </c>
      <c r="N255" s="2">
        <f t="shared" si="28"/>
        <v>621070.04987647955</v>
      </c>
    </row>
    <row r="256" spans="7:14" x14ac:dyDescent="0.25">
      <c r="G256" s="2">
        <v>253</v>
      </c>
      <c r="H256" s="2">
        <f t="shared" si="22"/>
        <v>-869.46190255812814</v>
      </c>
      <c r="I256" s="2">
        <f t="shared" si="23"/>
        <v>869.46190255812814</v>
      </c>
      <c r="J256" s="2">
        <f t="shared" si="24"/>
        <v>506</v>
      </c>
      <c r="K256" s="11">
        <f t="shared" si="25"/>
        <v>1738.9238051162563</v>
      </c>
      <c r="L256" s="2">
        <f t="shared" si="26"/>
        <v>494</v>
      </c>
      <c r="M256" s="2">
        <f t="shared" si="27"/>
        <v>3475.5688465683088</v>
      </c>
      <c r="N256" s="2">
        <f t="shared" si="28"/>
        <v>624545.6187230479</v>
      </c>
    </row>
    <row r="257" spans="7:14" x14ac:dyDescent="0.25">
      <c r="G257" s="2">
        <v>254</v>
      </c>
      <c r="H257" s="2">
        <f t="shared" si="22"/>
        <v>-870.59519870029146</v>
      </c>
      <c r="I257" s="2">
        <f t="shared" si="23"/>
        <v>870.59519870029146</v>
      </c>
      <c r="J257" s="2">
        <f t="shared" si="24"/>
        <v>508</v>
      </c>
      <c r="K257" s="11">
        <f t="shared" si="25"/>
        <v>1741.1903974005829</v>
      </c>
      <c r="L257" s="2">
        <f t="shared" si="26"/>
        <v>492</v>
      </c>
      <c r="M257" s="2">
        <f t="shared" si="27"/>
        <v>3480.1142025168392</v>
      </c>
      <c r="N257" s="2">
        <f t="shared" si="28"/>
        <v>628025.73292556475</v>
      </c>
    </row>
    <row r="258" spans="7:14" x14ac:dyDescent="0.25">
      <c r="G258" s="2">
        <v>255</v>
      </c>
      <c r="H258" s="2">
        <f t="shared" si="22"/>
        <v>-871.72243288790037</v>
      </c>
      <c r="I258" s="2">
        <f t="shared" si="23"/>
        <v>871.72243288790037</v>
      </c>
      <c r="J258" s="2">
        <f t="shared" si="24"/>
        <v>510</v>
      </c>
      <c r="K258" s="11">
        <f t="shared" si="25"/>
        <v>1743.4448657758007</v>
      </c>
      <c r="L258" s="2">
        <f t="shared" si="26"/>
        <v>490</v>
      </c>
      <c r="M258" s="2">
        <f t="shared" si="27"/>
        <v>3484.6352631763839</v>
      </c>
      <c r="N258" s="2">
        <f t="shared" si="28"/>
        <v>631510.36818874115</v>
      </c>
    </row>
    <row r="259" spans="7:14" x14ac:dyDescent="0.25">
      <c r="G259" s="2">
        <v>256</v>
      </c>
      <c r="H259" s="2">
        <f t="shared" ref="H259:H322" si="29">IF(G259&lt;POC_BOD,-1*$K259/2,IF(G259=POC_BOD,0,NA()))</f>
        <v>-872.84362860709473</v>
      </c>
      <c r="I259" s="2">
        <f t="shared" ref="I259:I322" si="30">IF(G259&lt;=POC_BOD,$K259/2,IF(G259=POC_BOD,0,NA()))</f>
        <v>872.84362860709473</v>
      </c>
      <c r="J259" s="2">
        <f t="shared" ref="J259:J322" si="31">IF(G259&lt;=POC_BOD,DN_KRUH/POC_BOD*G259,"")</f>
        <v>512</v>
      </c>
      <c r="K259" s="11">
        <f t="shared" ref="K259:K322" si="32">IF(G259&lt;POC_BOD,2*POWER(POWER(R_KRUH,2)-POWER(ABS(J259-DN_KRUH/2),2),0.5),IF(G259=POC_BOD,0,""))</f>
        <v>1745.6872572141895</v>
      </c>
      <c r="L259" s="2">
        <f t="shared" ref="L259:L322" si="33">IF(G259&lt;=POC_BOD,ABS(J259-DN_KRUH/2),IF(G259=POC_BOD,0,""))</f>
        <v>488</v>
      </c>
      <c r="M259" s="2">
        <f t="shared" si="27"/>
        <v>3489.1321229899904</v>
      </c>
      <c r="N259" s="2">
        <f t="shared" si="28"/>
        <v>634999.50031173113</v>
      </c>
    </row>
    <row r="260" spans="7:14" x14ac:dyDescent="0.25">
      <c r="G260" s="2">
        <v>257</v>
      </c>
      <c r="H260" s="2">
        <f t="shared" si="29"/>
        <v>-873.95880909800314</v>
      </c>
      <c r="I260" s="2">
        <f t="shared" si="30"/>
        <v>873.95880909800314</v>
      </c>
      <c r="J260" s="2">
        <f t="shared" si="31"/>
        <v>514</v>
      </c>
      <c r="K260" s="11">
        <f t="shared" si="32"/>
        <v>1747.9176181960063</v>
      </c>
      <c r="L260" s="2">
        <f t="shared" si="33"/>
        <v>486</v>
      </c>
      <c r="M260" s="2">
        <f t="shared" ref="M260:M323" si="34">IF(G259&lt;=POC_BOD,(K259+K260)/2*(J260-J259),"")</f>
        <v>3493.6048754101957</v>
      </c>
      <c r="N260" s="2">
        <f t="shared" ref="N260:N323" si="35">IF(G259&lt;=POC_BOD,((K259+K260)/2*(J260-J259))+N259,"")</f>
        <v>638493.10518714134</v>
      </c>
    </row>
    <row r="261" spans="7:14" x14ac:dyDescent="0.25">
      <c r="G261" s="2">
        <v>258</v>
      </c>
      <c r="H261" s="2">
        <f t="shared" si="29"/>
        <v>-875.06799735791958</v>
      </c>
      <c r="I261" s="2">
        <f t="shared" si="30"/>
        <v>875.06799735791958</v>
      </c>
      <c r="J261" s="2">
        <f t="shared" si="31"/>
        <v>516</v>
      </c>
      <c r="K261" s="11">
        <f t="shared" si="32"/>
        <v>1750.1359947158392</v>
      </c>
      <c r="L261" s="2">
        <f t="shared" si="33"/>
        <v>484</v>
      </c>
      <c r="M261" s="2">
        <f t="shared" si="34"/>
        <v>3498.0536129118454</v>
      </c>
      <c r="N261" s="2">
        <f t="shared" si="35"/>
        <v>641991.15880005318</v>
      </c>
    </row>
    <row r="262" spans="7:14" x14ac:dyDescent="0.25">
      <c r="G262" s="2">
        <v>259</v>
      </c>
      <c r="H262" s="2">
        <f t="shared" si="29"/>
        <v>-876.17121614442465</v>
      </c>
      <c r="I262" s="2">
        <f t="shared" si="30"/>
        <v>876.17121614442465</v>
      </c>
      <c r="J262" s="2">
        <f t="shared" si="31"/>
        <v>518</v>
      </c>
      <c r="K262" s="11">
        <f t="shared" si="32"/>
        <v>1752.3424322888493</v>
      </c>
      <c r="L262" s="2">
        <f t="shared" si="33"/>
        <v>482</v>
      </c>
      <c r="M262" s="2">
        <f t="shared" si="34"/>
        <v>3502.4784270046885</v>
      </c>
      <c r="N262" s="2">
        <f t="shared" si="35"/>
        <v>645493.63722705783</v>
      </c>
    </row>
    <row r="263" spans="7:14" x14ac:dyDescent="0.25">
      <c r="G263" s="2">
        <v>260</v>
      </c>
      <c r="H263" s="2">
        <f t="shared" si="29"/>
        <v>-877.2684879784523</v>
      </c>
      <c r="I263" s="2">
        <f t="shared" si="30"/>
        <v>877.2684879784523</v>
      </c>
      <c r="J263" s="2">
        <f t="shared" si="31"/>
        <v>520</v>
      </c>
      <c r="K263" s="11">
        <f t="shared" si="32"/>
        <v>1754.5369759569046</v>
      </c>
      <c r="L263" s="2">
        <f t="shared" si="33"/>
        <v>480</v>
      </c>
      <c r="M263" s="2">
        <f t="shared" si="34"/>
        <v>3506.8794082457539</v>
      </c>
      <c r="N263" s="2">
        <f t="shared" si="35"/>
        <v>649000.51663530362</v>
      </c>
    </row>
    <row r="264" spans="7:14" x14ac:dyDescent="0.25">
      <c r="G264" s="2">
        <v>261</v>
      </c>
      <c r="H264" s="2">
        <f t="shared" si="29"/>
        <v>-878.35983514730458</v>
      </c>
      <c r="I264" s="2">
        <f t="shared" si="30"/>
        <v>878.35983514730458</v>
      </c>
      <c r="J264" s="2">
        <f t="shared" si="31"/>
        <v>522</v>
      </c>
      <c r="K264" s="11">
        <f t="shared" si="32"/>
        <v>1756.7196702946092</v>
      </c>
      <c r="L264" s="2">
        <f t="shared" si="33"/>
        <v>478</v>
      </c>
      <c r="M264" s="2">
        <f t="shared" si="34"/>
        <v>3511.2566462515138</v>
      </c>
      <c r="N264" s="2">
        <f t="shared" si="35"/>
        <v>652511.77328155516</v>
      </c>
    </row>
    <row r="265" spans="7:14" x14ac:dyDescent="0.25">
      <c r="G265" s="2">
        <v>262</v>
      </c>
      <c r="H265" s="2">
        <f t="shared" si="29"/>
        <v>-879.44527970761203</v>
      </c>
      <c r="I265" s="2">
        <f t="shared" si="30"/>
        <v>879.44527970761203</v>
      </c>
      <c r="J265" s="2">
        <f t="shared" si="31"/>
        <v>524</v>
      </c>
      <c r="K265" s="11">
        <f t="shared" si="32"/>
        <v>1758.8905594152241</v>
      </c>
      <c r="L265" s="2">
        <f t="shared" si="33"/>
        <v>476</v>
      </c>
      <c r="M265" s="2">
        <f t="shared" si="34"/>
        <v>3515.6102297098332</v>
      </c>
      <c r="N265" s="2">
        <f t="shared" si="35"/>
        <v>656027.38351126504</v>
      </c>
    </row>
    <row r="266" spans="7:14" x14ac:dyDescent="0.25">
      <c r="G266" s="2">
        <v>263</v>
      </c>
      <c r="H266" s="2">
        <f t="shared" si="29"/>
        <v>-880.52484348824589</v>
      </c>
      <c r="I266" s="2">
        <f t="shared" si="30"/>
        <v>880.52484348824589</v>
      </c>
      <c r="J266" s="2">
        <f t="shared" si="31"/>
        <v>526</v>
      </c>
      <c r="K266" s="11">
        <f t="shared" si="32"/>
        <v>1761.0496869764918</v>
      </c>
      <c r="L266" s="2">
        <f t="shared" si="33"/>
        <v>474</v>
      </c>
      <c r="M266" s="2">
        <f t="shared" si="34"/>
        <v>3519.9402463917158</v>
      </c>
      <c r="N266" s="2">
        <f t="shared" si="35"/>
        <v>659547.32375765673</v>
      </c>
    </row>
    <row r="267" spans="7:14" x14ac:dyDescent="0.25">
      <c r="G267" s="2">
        <v>264</v>
      </c>
      <c r="H267" s="2">
        <f t="shared" si="29"/>
        <v>-881.59854809317824</v>
      </c>
      <c r="I267" s="2">
        <f t="shared" si="30"/>
        <v>881.59854809317824</v>
      </c>
      <c r="J267" s="2">
        <f t="shared" si="31"/>
        <v>528</v>
      </c>
      <c r="K267" s="11">
        <f t="shared" si="32"/>
        <v>1763.1970961863565</v>
      </c>
      <c r="L267" s="2">
        <f t="shared" si="33"/>
        <v>472</v>
      </c>
      <c r="M267" s="2">
        <f t="shared" si="34"/>
        <v>3524.2467831628483</v>
      </c>
      <c r="N267" s="2">
        <f t="shared" si="35"/>
        <v>663071.57054081955</v>
      </c>
    </row>
    <row r="268" spans="7:14" x14ac:dyDescent="0.25">
      <c r="G268" s="2">
        <v>265</v>
      </c>
      <c r="H268" s="2">
        <f t="shared" si="29"/>
        <v>-882.66641490429436</v>
      </c>
      <c r="I268" s="2">
        <f t="shared" si="30"/>
        <v>882.66641490429436</v>
      </c>
      <c r="J268" s="2">
        <f t="shared" si="31"/>
        <v>530</v>
      </c>
      <c r="K268" s="11">
        <f t="shared" si="32"/>
        <v>1765.3328298085887</v>
      </c>
      <c r="L268" s="2">
        <f t="shared" si="33"/>
        <v>470</v>
      </c>
      <c r="M268" s="2">
        <f t="shared" si="34"/>
        <v>3528.5299259949452</v>
      </c>
      <c r="N268" s="2">
        <f t="shared" si="35"/>
        <v>666600.10046681447</v>
      </c>
    </row>
    <row r="269" spans="7:14" x14ac:dyDescent="0.25">
      <c r="G269" s="2">
        <v>266</v>
      </c>
      <c r="H269" s="2">
        <f t="shared" si="29"/>
        <v>-883.72846508415694</v>
      </c>
      <c r="I269" s="2">
        <f t="shared" si="30"/>
        <v>883.72846508415694</v>
      </c>
      <c r="J269" s="2">
        <f t="shared" si="31"/>
        <v>532</v>
      </c>
      <c r="K269" s="11">
        <f t="shared" si="32"/>
        <v>1767.4569301683139</v>
      </c>
      <c r="L269" s="2">
        <f t="shared" si="33"/>
        <v>468</v>
      </c>
      <c r="M269" s="2">
        <f t="shared" si="34"/>
        <v>3532.7897599769026</v>
      </c>
      <c r="N269" s="2">
        <f t="shared" si="35"/>
        <v>670132.89022679138</v>
      </c>
    </row>
    <row r="270" spans="7:14" x14ac:dyDescent="0.25">
      <c r="G270" s="2">
        <v>267</v>
      </c>
      <c r="H270" s="2">
        <f t="shared" si="29"/>
        <v>-884.7847195787233</v>
      </c>
      <c r="I270" s="2">
        <f t="shared" si="30"/>
        <v>884.7847195787233</v>
      </c>
      <c r="J270" s="2">
        <f t="shared" si="31"/>
        <v>534</v>
      </c>
      <c r="K270" s="11">
        <f t="shared" si="32"/>
        <v>1769.5694391574466</v>
      </c>
      <c r="L270" s="2">
        <f t="shared" si="33"/>
        <v>466</v>
      </c>
      <c r="M270" s="2">
        <f t="shared" si="34"/>
        <v>3537.0263693257602</v>
      </c>
      <c r="N270" s="2">
        <f t="shared" si="35"/>
        <v>673669.9165961172</v>
      </c>
    </row>
    <row r="271" spans="7:14" x14ac:dyDescent="0.25">
      <c r="G271" s="2">
        <v>268</v>
      </c>
      <c r="H271" s="2">
        <f t="shared" si="29"/>
        <v>-885.83519912001691</v>
      </c>
      <c r="I271" s="2">
        <f t="shared" si="30"/>
        <v>885.83519912001691</v>
      </c>
      <c r="J271" s="2">
        <f t="shared" si="31"/>
        <v>536</v>
      </c>
      <c r="K271" s="11">
        <f t="shared" si="32"/>
        <v>1771.6703982400338</v>
      </c>
      <c r="L271" s="2">
        <f t="shared" si="33"/>
        <v>464</v>
      </c>
      <c r="M271" s="2">
        <f t="shared" si="34"/>
        <v>3541.2398373974802</v>
      </c>
      <c r="N271" s="2">
        <f t="shared" si="35"/>
        <v>677211.15643351467</v>
      </c>
    </row>
    <row r="272" spans="7:14" x14ac:dyDescent="0.25">
      <c r="G272" s="2">
        <v>269</v>
      </c>
      <c r="H272" s="2">
        <f t="shared" si="29"/>
        <v>-886.87992422875379</v>
      </c>
      <c r="I272" s="2">
        <f t="shared" si="30"/>
        <v>886.87992422875379</v>
      </c>
      <c r="J272" s="2">
        <f t="shared" si="31"/>
        <v>538</v>
      </c>
      <c r="K272" s="11">
        <f t="shared" si="32"/>
        <v>1773.7598484575076</v>
      </c>
      <c r="L272" s="2">
        <f t="shared" si="33"/>
        <v>462</v>
      </c>
      <c r="M272" s="2">
        <f t="shared" si="34"/>
        <v>3545.4302466975414</v>
      </c>
      <c r="N272" s="2">
        <f t="shared" si="35"/>
        <v>680756.58668021217</v>
      </c>
    </row>
    <row r="273" spans="7:14" x14ac:dyDescent="0.25">
      <c r="G273" s="2">
        <v>270</v>
      </c>
      <c r="H273" s="2">
        <f t="shared" si="29"/>
        <v>-887.91891521692457</v>
      </c>
      <c r="I273" s="2">
        <f t="shared" si="30"/>
        <v>887.91891521692457</v>
      </c>
      <c r="J273" s="2">
        <f t="shared" si="31"/>
        <v>540</v>
      </c>
      <c r="K273" s="11">
        <f t="shared" si="32"/>
        <v>1775.8378304338491</v>
      </c>
      <c r="L273" s="2">
        <f t="shared" si="33"/>
        <v>460</v>
      </c>
      <c r="M273" s="2">
        <f t="shared" si="34"/>
        <v>3549.5976788913567</v>
      </c>
      <c r="N273" s="2">
        <f t="shared" si="35"/>
        <v>684306.18435910356</v>
      </c>
    </row>
    <row r="274" spans="7:14" x14ac:dyDescent="0.25">
      <c r="G274" s="2">
        <v>271</v>
      </c>
      <c r="H274" s="2">
        <f t="shared" si="29"/>
        <v>-888.95219219033368</v>
      </c>
      <c r="I274" s="2">
        <f t="shared" si="30"/>
        <v>888.95219219033368</v>
      </c>
      <c r="J274" s="2">
        <f t="shared" si="31"/>
        <v>542</v>
      </c>
      <c r="K274" s="11">
        <f t="shared" si="32"/>
        <v>1777.9043843806674</v>
      </c>
      <c r="L274" s="2">
        <f t="shared" si="33"/>
        <v>458</v>
      </c>
      <c r="M274" s="2">
        <f t="shared" si="34"/>
        <v>3553.7422148145165</v>
      </c>
      <c r="N274" s="2">
        <f t="shared" si="35"/>
        <v>687859.92657391808</v>
      </c>
    </row>
    <row r="275" spans="7:14" x14ac:dyDescent="0.25">
      <c r="G275" s="2">
        <v>272</v>
      </c>
      <c r="H275" s="2">
        <f t="shared" si="29"/>
        <v>-889.97977505109634</v>
      </c>
      <c r="I275" s="2">
        <f t="shared" si="30"/>
        <v>889.97977505109634</v>
      </c>
      <c r="J275" s="2">
        <f t="shared" si="31"/>
        <v>544</v>
      </c>
      <c r="K275" s="11">
        <f t="shared" si="32"/>
        <v>1779.9595501021927</v>
      </c>
      <c r="L275" s="2">
        <f t="shared" si="33"/>
        <v>456</v>
      </c>
      <c r="M275" s="2">
        <f t="shared" si="34"/>
        <v>3557.8639344828598</v>
      </c>
      <c r="N275" s="2">
        <f t="shared" si="35"/>
        <v>691417.790508401</v>
      </c>
    </row>
    <row r="276" spans="7:14" x14ac:dyDescent="0.25">
      <c r="G276" s="2">
        <v>273</v>
      </c>
      <c r="H276" s="2">
        <f t="shared" si="29"/>
        <v>-891.00168350009301</v>
      </c>
      <c r="I276" s="2">
        <f t="shared" si="30"/>
        <v>891.00168350009301</v>
      </c>
      <c r="J276" s="2">
        <f t="shared" si="31"/>
        <v>546</v>
      </c>
      <c r="K276" s="11">
        <f t="shared" si="32"/>
        <v>1782.003367000186</v>
      </c>
      <c r="L276" s="2">
        <f t="shared" si="33"/>
        <v>454</v>
      </c>
      <c r="M276" s="2">
        <f t="shared" si="34"/>
        <v>3561.9629171023789</v>
      </c>
      <c r="N276" s="2">
        <f t="shared" si="35"/>
        <v>694979.75342550338</v>
      </c>
    </row>
    <row r="277" spans="7:14" x14ac:dyDescent="0.25">
      <c r="G277" s="2">
        <v>274</v>
      </c>
      <c r="H277" s="2">
        <f t="shared" si="29"/>
        <v>-892.01793703938483</v>
      </c>
      <c r="I277" s="2">
        <f t="shared" si="30"/>
        <v>892.01793703938483</v>
      </c>
      <c r="J277" s="2">
        <f t="shared" si="31"/>
        <v>548</v>
      </c>
      <c r="K277" s="11">
        <f t="shared" si="32"/>
        <v>1784.0358740787697</v>
      </c>
      <c r="L277" s="2">
        <f t="shared" si="33"/>
        <v>452</v>
      </c>
      <c r="M277" s="2">
        <f t="shared" si="34"/>
        <v>3566.0392410789555</v>
      </c>
      <c r="N277" s="2">
        <f t="shared" si="35"/>
        <v>698545.79266658239</v>
      </c>
    </row>
    <row r="278" spans="7:14" x14ac:dyDescent="0.25">
      <c r="G278" s="2">
        <v>275</v>
      </c>
      <c r="H278" s="2">
        <f t="shared" si="29"/>
        <v>-893.02855497458756</v>
      </c>
      <c r="I278" s="2">
        <f t="shared" si="30"/>
        <v>893.02855497458756</v>
      </c>
      <c r="J278" s="2">
        <f t="shared" si="31"/>
        <v>550</v>
      </c>
      <c r="K278" s="11">
        <f t="shared" si="32"/>
        <v>1786.0571099491751</v>
      </c>
      <c r="L278" s="2">
        <f t="shared" si="33"/>
        <v>450</v>
      </c>
      <c r="M278" s="2">
        <f t="shared" si="34"/>
        <v>3570.092984027945</v>
      </c>
      <c r="N278" s="2">
        <f t="shared" si="35"/>
        <v>702115.88565061032</v>
      </c>
    </row>
    <row r="279" spans="7:14" x14ac:dyDescent="0.25">
      <c r="G279" s="2">
        <v>276</v>
      </c>
      <c r="H279" s="2">
        <f t="shared" si="29"/>
        <v>-894.03355641720736</v>
      </c>
      <c r="I279" s="2">
        <f t="shared" si="30"/>
        <v>894.03355641720736</v>
      </c>
      <c r="J279" s="2">
        <f t="shared" si="31"/>
        <v>552</v>
      </c>
      <c r="K279" s="11">
        <f t="shared" si="32"/>
        <v>1788.0671128344147</v>
      </c>
      <c r="L279" s="2">
        <f t="shared" si="33"/>
        <v>448</v>
      </c>
      <c r="M279" s="2">
        <f t="shared" si="34"/>
        <v>3574.1242227835901</v>
      </c>
      <c r="N279" s="2">
        <f t="shared" si="35"/>
        <v>705690.00987339392</v>
      </c>
    </row>
    <row r="280" spans="7:14" x14ac:dyDescent="0.25">
      <c r="G280" s="2">
        <v>277</v>
      </c>
      <c r="H280" s="2">
        <f t="shared" si="29"/>
        <v>-895.03296028693831</v>
      </c>
      <c r="I280" s="2">
        <f t="shared" si="30"/>
        <v>895.03296028693831</v>
      </c>
      <c r="J280" s="2">
        <f t="shared" si="31"/>
        <v>554</v>
      </c>
      <c r="K280" s="11">
        <f t="shared" si="32"/>
        <v>1790.0659205738766</v>
      </c>
      <c r="L280" s="2">
        <f t="shared" si="33"/>
        <v>446</v>
      </c>
      <c r="M280" s="2">
        <f t="shared" si="34"/>
        <v>3578.1330334082913</v>
      </c>
      <c r="N280" s="2">
        <f t="shared" si="35"/>
        <v>709268.14290680224</v>
      </c>
    </row>
    <row r="281" spans="7:14" x14ac:dyDescent="0.25">
      <c r="G281" s="2">
        <v>278</v>
      </c>
      <c r="H281" s="2">
        <f t="shared" si="29"/>
        <v>-896.02678531392132</v>
      </c>
      <c r="I281" s="2">
        <f t="shared" si="30"/>
        <v>896.02678531392132</v>
      </c>
      <c r="J281" s="2">
        <f t="shared" si="31"/>
        <v>556</v>
      </c>
      <c r="K281" s="11">
        <f t="shared" si="32"/>
        <v>1792.0535706278426</v>
      </c>
      <c r="L281" s="2">
        <f t="shared" si="33"/>
        <v>444</v>
      </c>
      <c r="M281" s="2">
        <f t="shared" si="34"/>
        <v>3582.119491201719</v>
      </c>
      <c r="N281" s="2">
        <f t="shared" si="35"/>
        <v>712850.26239800395</v>
      </c>
    </row>
    <row r="282" spans="7:14" x14ac:dyDescent="0.25">
      <c r="G282" s="2">
        <v>279</v>
      </c>
      <c r="H282" s="2">
        <f t="shared" si="29"/>
        <v>-897.01505004096782</v>
      </c>
      <c r="I282" s="2">
        <f t="shared" si="30"/>
        <v>897.01505004096782</v>
      </c>
      <c r="J282" s="2">
        <f t="shared" si="31"/>
        <v>558</v>
      </c>
      <c r="K282" s="11">
        <f t="shared" si="32"/>
        <v>1794.0301000819356</v>
      </c>
      <c r="L282" s="2">
        <f t="shared" si="33"/>
        <v>442</v>
      </c>
      <c r="M282" s="2">
        <f t="shared" si="34"/>
        <v>3586.0836707097783</v>
      </c>
      <c r="N282" s="2">
        <f t="shared" si="35"/>
        <v>716436.3460687137</v>
      </c>
    </row>
    <row r="283" spans="7:14" x14ac:dyDescent="0.25">
      <c r="G283" s="2">
        <v>280</v>
      </c>
      <c r="H283" s="2">
        <f t="shared" si="29"/>
        <v>-897.99777282574598</v>
      </c>
      <c r="I283" s="2">
        <f t="shared" si="30"/>
        <v>897.99777282574598</v>
      </c>
      <c r="J283" s="2">
        <f t="shared" si="31"/>
        <v>560</v>
      </c>
      <c r="K283" s="11">
        <f t="shared" si="32"/>
        <v>1795.995545651492</v>
      </c>
      <c r="L283" s="2">
        <f t="shared" si="33"/>
        <v>440</v>
      </c>
      <c r="M283" s="2">
        <f t="shared" si="34"/>
        <v>3590.0256457334276</v>
      </c>
      <c r="N283" s="2">
        <f t="shared" si="35"/>
        <v>720026.37171444716</v>
      </c>
    </row>
    <row r="284" spans="7:14" x14ac:dyDescent="0.25">
      <c r="G284" s="2">
        <v>281</v>
      </c>
      <c r="H284" s="2">
        <f t="shared" si="29"/>
        <v>-898.97497184293184</v>
      </c>
      <c r="I284" s="2">
        <f t="shared" si="30"/>
        <v>898.97497184293184</v>
      </c>
      <c r="J284" s="2">
        <f t="shared" si="31"/>
        <v>562</v>
      </c>
      <c r="K284" s="11">
        <f t="shared" si="32"/>
        <v>1797.9499436858637</v>
      </c>
      <c r="L284" s="2">
        <f t="shared" si="33"/>
        <v>438</v>
      </c>
      <c r="M284" s="2">
        <f t="shared" si="34"/>
        <v>3593.9454893373559</v>
      </c>
      <c r="N284" s="2">
        <f t="shared" si="35"/>
        <v>723620.31720378448</v>
      </c>
    </row>
    <row r="285" spans="7:14" x14ac:dyDescent="0.25">
      <c r="G285" s="2">
        <v>282</v>
      </c>
      <c r="H285" s="2">
        <f t="shared" si="29"/>
        <v>-899.94666508632611</v>
      </c>
      <c r="I285" s="2">
        <f t="shared" si="30"/>
        <v>899.94666508632611</v>
      </c>
      <c r="J285" s="2">
        <f t="shared" si="31"/>
        <v>564</v>
      </c>
      <c r="K285" s="11">
        <f t="shared" si="32"/>
        <v>1799.8933301726522</v>
      </c>
      <c r="L285" s="2">
        <f t="shared" si="33"/>
        <v>436</v>
      </c>
      <c r="M285" s="2">
        <f t="shared" si="34"/>
        <v>3597.8432738585161</v>
      </c>
      <c r="N285" s="2">
        <f t="shared" si="35"/>
        <v>727218.16047764302</v>
      </c>
    </row>
    <row r="286" spans="7:14" x14ac:dyDescent="0.25">
      <c r="G286" s="2">
        <v>283</v>
      </c>
      <c r="H286" s="2">
        <f t="shared" si="29"/>
        <v>-900.91287037093662</v>
      </c>
      <c r="I286" s="2">
        <f t="shared" si="30"/>
        <v>900.91287037093662</v>
      </c>
      <c r="J286" s="2">
        <f t="shared" si="31"/>
        <v>566</v>
      </c>
      <c r="K286" s="11">
        <f t="shared" si="32"/>
        <v>1801.8257407418732</v>
      </c>
      <c r="L286" s="2">
        <f t="shared" si="33"/>
        <v>434</v>
      </c>
      <c r="M286" s="2">
        <f t="shared" si="34"/>
        <v>3601.7190709145252</v>
      </c>
      <c r="N286" s="2">
        <f t="shared" si="35"/>
        <v>730819.87954855757</v>
      </c>
    </row>
    <row r="287" spans="7:14" x14ac:dyDescent="0.25">
      <c r="G287" s="2">
        <v>284</v>
      </c>
      <c r="H287" s="2">
        <f t="shared" si="29"/>
        <v>-901.87360533502692</v>
      </c>
      <c r="I287" s="2">
        <f t="shared" si="30"/>
        <v>901.87360533502692</v>
      </c>
      <c r="J287" s="2">
        <f t="shared" si="31"/>
        <v>568</v>
      </c>
      <c r="K287" s="11">
        <f t="shared" si="32"/>
        <v>1803.7472106700538</v>
      </c>
      <c r="L287" s="2">
        <f t="shared" si="33"/>
        <v>432</v>
      </c>
      <c r="M287" s="2">
        <f t="shared" si="34"/>
        <v>3605.5729514119271</v>
      </c>
      <c r="N287" s="2">
        <f t="shared" si="35"/>
        <v>734425.45249996951</v>
      </c>
    </row>
    <row r="288" spans="7:14" x14ac:dyDescent="0.25">
      <c r="G288" s="2">
        <v>285</v>
      </c>
      <c r="H288" s="2">
        <f t="shared" si="29"/>
        <v>-902.82888744213324</v>
      </c>
      <c r="I288" s="2">
        <f t="shared" si="30"/>
        <v>902.82888744213324</v>
      </c>
      <c r="J288" s="2">
        <f t="shared" si="31"/>
        <v>570</v>
      </c>
      <c r="K288" s="11">
        <f t="shared" si="32"/>
        <v>1805.6577748842665</v>
      </c>
      <c r="L288" s="2">
        <f t="shared" si="33"/>
        <v>430</v>
      </c>
      <c r="M288" s="2">
        <f t="shared" si="34"/>
        <v>3609.4049855543203</v>
      </c>
      <c r="N288" s="2">
        <f t="shared" si="35"/>
        <v>738034.8574855238</v>
      </c>
    </row>
    <row r="289" spans="7:14" x14ac:dyDescent="0.25">
      <c r="G289" s="2">
        <v>286</v>
      </c>
      <c r="H289" s="2">
        <f t="shared" si="29"/>
        <v>-903.77873398304746</v>
      </c>
      <c r="I289" s="2">
        <f t="shared" si="30"/>
        <v>903.77873398304746</v>
      </c>
      <c r="J289" s="2">
        <f t="shared" si="31"/>
        <v>572</v>
      </c>
      <c r="K289" s="11">
        <f t="shared" si="32"/>
        <v>1807.5574679660949</v>
      </c>
      <c r="L289" s="2">
        <f t="shared" si="33"/>
        <v>428</v>
      </c>
      <c r="M289" s="2">
        <f t="shared" si="34"/>
        <v>3613.2152428503614</v>
      </c>
      <c r="N289" s="2">
        <f t="shared" si="35"/>
        <v>741648.07272837416</v>
      </c>
    </row>
    <row r="290" spans="7:14" x14ac:dyDescent="0.25">
      <c r="G290" s="2">
        <v>287</v>
      </c>
      <c r="H290" s="2">
        <f t="shared" si="29"/>
        <v>-904.72316207777067</v>
      </c>
      <c r="I290" s="2">
        <f t="shared" si="30"/>
        <v>904.72316207777067</v>
      </c>
      <c r="J290" s="2">
        <f t="shared" si="31"/>
        <v>574</v>
      </c>
      <c r="K290" s="11">
        <f t="shared" si="32"/>
        <v>1809.4463241555413</v>
      </c>
      <c r="L290" s="2">
        <f t="shared" si="33"/>
        <v>426</v>
      </c>
      <c r="M290" s="2">
        <f t="shared" si="34"/>
        <v>3617.0037921216363</v>
      </c>
      <c r="N290" s="2">
        <f t="shared" si="35"/>
        <v>745265.07652049582</v>
      </c>
    </row>
    <row r="291" spans="7:14" x14ac:dyDescent="0.25">
      <c r="G291" s="2">
        <v>288</v>
      </c>
      <c r="H291" s="2">
        <f t="shared" si="29"/>
        <v>-905.66218867743396</v>
      </c>
      <c r="I291" s="2">
        <f t="shared" si="30"/>
        <v>905.66218867743396</v>
      </c>
      <c r="J291" s="2">
        <f t="shared" si="31"/>
        <v>576</v>
      </c>
      <c r="K291" s="11">
        <f t="shared" si="32"/>
        <v>1811.3243773548679</v>
      </c>
      <c r="L291" s="2">
        <f t="shared" si="33"/>
        <v>424</v>
      </c>
      <c r="M291" s="2">
        <f t="shared" si="34"/>
        <v>3620.7707015104093</v>
      </c>
      <c r="N291" s="2">
        <f t="shared" si="35"/>
        <v>748885.84722200618</v>
      </c>
    </row>
    <row r="292" spans="7:14" x14ac:dyDescent="0.25">
      <c r="G292" s="2">
        <v>289</v>
      </c>
      <c r="H292" s="2">
        <f t="shared" si="29"/>
        <v>-906.5958305661901</v>
      </c>
      <c r="I292" s="2">
        <f t="shared" si="30"/>
        <v>906.5958305661901</v>
      </c>
      <c r="J292" s="2">
        <f t="shared" si="31"/>
        <v>578</v>
      </c>
      <c r="K292" s="11">
        <f t="shared" si="32"/>
        <v>1813.1916611323802</v>
      </c>
      <c r="L292" s="2">
        <f t="shared" si="33"/>
        <v>422</v>
      </c>
      <c r="M292" s="2">
        <f t="shared" si="34"/>
        <v>3624.5160384872479</v>
      </c>
      <c r="N292" s="2">
        <f t="shared" si="35"/>
        <v>752510.36326049338</v>
      </c>
    </row>
    <row r="293" spans="7:14" x14ac:dyDescent="0.25">
      <c r="G293" s="2">
        <v>290</v>
      </c>
      <c r="H293" s="2">
        <f t="shared" si="29"/>
        <v>-907.52410436307423</v>
      </c>
      <c r="I293" s="2">
        <f t="shared" si="30"/>
        <v>907.52410436307423</v>
      </c>
      <c r="J293" s="2">
        <f t="shared" si="31"/>
        <v>580</v>
      </c>
      <c r="K293" s="11">
        <f t="shared" si="32"/>
        <v>1815.0482087261485</v>
      </c>
      <c r="L293" s="2">
        <f t="shared" si="33"/>
        <v>420</v>
      </c>
      <c r="M293" s="2">
        <f t="shared" si="34"/>
        <v>3628.2398698585284</v>
      </c>
      <c r="N293" s="2">
        <f t="shared" si="35"/>
        <v>756138.60313035187</v>
      </c>
    </row>
    <row r="294" spans="7:14" x14ac:dyDescent="0.25">
      <c r="G294" s="2">
        <v>291</v>
      </c>
      <c r="H294" s="2">
        <f t="shared" si="29"/>
        <v>-908.44702652383648</v>
      </c>
      <c r="I294" s="2">
        <f t="shared" si="30"/>
        <v>908.44702652383648</v>
      </c>
      <c r="J294" s="2">
        <f t="shared" si="31"/>
        <v>582</v>
      </c>
      <c r="K294" s="11">
        <f t="shared" si="32"/>
        <v>1816.894053047673</v>
      </c>
      <c r="L294" s="2">
        <f t="shared" si="33"/>
        <v>418</v>
      </c>
      <c r="M294" s="2">
        <f t="shared" si="34"/>
        <v>3631.9422617738214</v>
      </c>
      <c r="N294" s="2">
        <f t="shared" si="35"/>
        <v>759770.54539212573</v>
      </c>
    </row>
    <row r="295" spans="7:14" x14ac:dyDescent="0.25">
      <c r="G295" s="2">
        <v>292</v>
      </c>
      <c r="H295" s="2">
        <f t="shared" si="29"/>
        <v>-909.36461334274497</v>
      </c>
      <c r="I295" s="2">
        <f t="shared" si="30"/>
        <v>909.36461334274497</v>
      </c>
      <c r="J295" s="2">
        <f t="shared" si="31"/>
        <v>584</v>
      </c>
      <c r="K295" s="11">
        <f t="shared" si="32"/>
        <v>1818.7292266854899</v>
      </c>
      <c r="L295" s="2">
        <f t="shared" si="33"/>
        <v>416</v>
      </c>
      <c r="M295" s="2">
        <f t="shared" si="34"/>
        <v>3635.6232797331631</v>
      </c>
      <c r="N295" s="2">
        <f t="shared" si="35"/>
        <v>763406.16867185885</v>
      </c>
    </row>
    <row r="296" spans="7:14" x14ac:dyDescent="0.25">
      <c r="G296" s="2">
        <v>293</v>
      </c>
      <c r="H296" s="2">
        <f t="shared" si="29"/>
        <v>-910.2768809543611</v>
      </c>
      <c r="I296" s="2">
        <f t="shared" si="30"/>
        <v>910.2768809543611</v>
      </c>
      <c r="J296" s="2">
        <f t="shared" si="31"/>
        <v>586</v>
      </c>
      <c r="K296" s="11">
        <f t="shared" si="32"/>
        <v>1820.5537619087222</v>
      </c>
      <c r="L296" s="2">
        <f t="shared" si="33"/>
        <v>414</v>
      </c>
      <c r="M296" s="2">
        <f t="shared" si="34"/>
        <v>3639.2829885942119</v>
      </c>
      <c r="N296" s="2">
        <f t="shared" si="35"/>
        <v>767045.45166045311</v>
      </c>
    </row>
    <row r="297" spans="7:14" x14ac:dyDescent="0.25">
      <c r="G297" s="2">
        <v>294</v>
      </c>
      <c r="H297" s="2">
        <f t="shared" si="29"/>
        <v>-911.18384533528683</v>
      </c>
      <c r="I297" s="2">
        <f t="shared" si="30"/>
        <v>911.18384533528683</v>
      </c>
      <c r="J297" s="2">
        <f t="shared" si="31"/>
        <v>588</v>
      </c>
      <c r="K297" s="11">
        <f t="shared" si="32"/>
        <v>1822.3676906705737</v>
      </c>
      <c r="L297" s="2">
        <f t="shared" si="33"/>
        <v>412</v>
      </c>
      <c r="M297" s="2">
        <f t="shared" si="34"/>
        <v>3642.9214525792959</v>
      </c>
      <c r="N297" s="2">
        <f t="shared" si="35"/>
        <v>770688.37311303243</v>
      </c>
    </row>
    <row r="298" spans="7:14" x14ac:dyDescent="0.25">
      <c r="G298" s="2">
        <v>295</v>
      </c>
      <c r="H298" s="2">
        <f t="shared" si="29"/>
        <v>-912.08552230588555</v>
      </c>
      <c r="I298" s="2">
        <f t="shared" si="30"/>
        <v>912.08552230588555</v>
      </c>
      <c r="J298" s="2">
        <f t="shared" si="31"/>
        <v>590</v>
      </c>
      <c r="K298" s="11">
        <f t="shared" si="32"/>
        <v>1824.1710446117711</v>
      </c>
      <c r="L298" s="2">
        <f t="shared" si="33"/>
        <v>410</v>
      </c>
      <c r="M298" s="2">
        <f t="shared" si="34"/>
        <v>3646.5387352823445</v>
      </c>
      <c r="N298" s="2">
        <f t="shared" si="35"/>
        <v>774334.9118483148</v>
      </c>
    </row>
    <row r="299" spans="7:14" x14ac:dyDescent="0.25">
      <c r="G299" s="2">
        <v>296</v>
      </c>
      <c r="H299" s="2">
        <f t="shared" si="29"/>
        <v>-912.98192753197475</v>
      </c>
      <c r="I299" s="2">
        <f t="shared" si="30"/>
        <v>912.98192753197475</v>
      </c>
      <c r="J299" s="2">
        <f t="shared" si="31"/>
        <v>592</v>
      </c>
      <c r="K299" s="11">
        <f t="shared" si="32"/>
        <v>1825.9638550639495</v>
      </c>
      <c r="L299" s="2">
        <f t="shared" si="33"/>
        <v>408</v>
      </c>
      <c r="M299" s="2">
        <f t="shared" si="34"/>
        <v>3650.1348996757206</v>
      </c>
      <c r="N299" s="2">
        <f t="shared" si="35"/>
        <v>777985.04674799053</v>
      </c>
    </row>
    <row r="300" spans="7:14" x14ac:dyDescent="0.25">
      <c r="G300" s="2">
        <v>297</v>
      </c>
      <c r="H300" s="2">
        <f t="shared" si="29"/>
        <v>-913.87307652649451</v>
      </c>
      <c r="I300" s="2">
        <f t="shared" si="30"/>
        <v>913.87307652649451</v>
      </c>
      <c r="J300" s="2">
        <f t="shared" si="31"/>
        <v>594</v>
      </c>
      <c r="K300" s="11">
        <f t="shared" si="32"/>
        <v>1827.746153052989</v>
      </c>
      <c r="L300" s="2">
        <f t="shared" si="33"/>
        <v>406</v>
      </c>
      <c r="M300" s="2">
        <f t="shared" si="34"/>
        <v>3653.7100081169383</v>
      </c>
      <c r="N300" s="2">
        <f t="shared" si="35"/>
        <v>781638.75675610744</v>
      </c>
    </row>
    <row r="301" spans="7:14" x14ac:dyDescent="0.25">
      <c r="G301" s="2">
        <v>298</v>
      </c>
      <c r="H301" s="2">
        <f t="shared" si="29"/>
        <v>-914.75898465114847</v>
      </c>
      <c r="I301" s="2">
        <f t="shared" si="30"/>
        <v>914.75898465114847</v>
      </c>
      <c r="J301" s="2">
        <f t="shared" si="31"/>
        <v>596</v>
      </c>
      <c r="K301" s="11">
        <f t="shared" si="32"/>
        <v>1829.5179693022969</v>
      </c>
      <c r="L301" s="2">
        <f t="shared" si="33"/>
        <v>404</v>
      </c>
      <c r="M301" s="2">
        <f t="shared" si="34"/>
        <v>3657.264122355286</v>
      </c>
      <c r="N301" s="2">
        <f t="shared" si="35"/>
        <v>785296.0208784627</v>
      </c>
    </row>
    <row r="302" spans="7:14" x14ac:dyDescent="0.25">
      <c r="G302" s="2">
        <v>299</v>
      </c>
      <c r="H302" s="2">
        <f t="shared" si="29"/>
        <v>-915.63966711802084</v>
      </c>
      <c r="I302" s="2">
        <f t="shared" si="30"/>
        <v>915.63966711802084</v>
      </c>
      <c r="J302" s="2">
        <f t="shared" si="31"/>
        <v>598</v>
      </c>
      <c r="K302" s="11">
        <f t="shared" si="32"/>
        <v>1831.2793342360417</v>
      </c>
      <c r="L302" s="2">
        <f t="shared" si="33"/>
        <v>402</v>
      </c>
      <c r="M302" s="2">
        <f t="shared" si="34"/>
        <v>3660.7973035383384</v>
      </c>
      <c r="N302" s="2">
        <f t="shared" si="35"/>
        <v>788956.81818200101</v>
      </c>
    </row>
    <row r="303" spans="7:14" x14ac:dyDescent="0.25">
      <c r="G303" s="2">
        <v>300</v>
      </c>
      <c r="H303" s="2">
        <f t="shared" si="29"/>
        <v>-916.51513899116799</v>
      </c>
      <c r="I303" s="2">
        <f t="shared" si="30"/>
        <v>916.51513899116799</v>
      </c>
      <c r="J303" s="2">
        <f t="shared" si="31"/>
        <v>600</v>
      </c>
      <c r="K303" s="11">
        <f t="shared" si="32"/>
        <v>1833.030277982336</v>
      </c>
      <c r="L303" s="2">
        <f t="shared" si="33"/>
        <v>400</v>
      </c>
      <c r="M303" s="2">
        <f t="shared" si="34"/>
        <v>3664.3096122183779</v>
      </c>
      <c r="N303" s="2">
        <f t="shared" si="35"/>
        <v>792621.12779421941</v>
      </c>
    </row>
    <row r="304" spans="7:14" x14ac:dyDescent="0.25">
      <c r="G304" s="2">
        <v>301</v>
      </c>
      <c r="H304" s="2">
        <f t="shared" si="29"/>
        <v>-917.38541518818579</v>
      </c>
      <c r="I304" s="2">
        <f t="shared" si="30"/>
        <v>917.38541518818579</v>
      </c>
      <c r="J304" s="2">
        <f t="shared" si="31"/>
        <v>602</v>
      </c>
      <c r="K304" s="11">
        <f t="shared" si="32"/>
        <v>1834.7708303763716</v>
      </c>
      <c r="L304" s="2">
        <f t="shared" si="33"/>
        <v>398</v>
      </c>
      <c r="M304" s="2">
        <f t="shared" si="34"/>
        <v>3667.8011083587076</v>
      </c>
      <c r="N304" s="2">
        <f t="shared" si="35"/>
        <v>796288.92890257807</v>
      </c>
    </row>
    <row r="305" spans="7:14" x14ac:dyDescent="0.25">
      <c r="G305" s="2">
        <v>302</v>
      </c>
      <c r="H305" s="2">
        <f t="shared" si="29"/>
        <v>-918.25051048175305</v>
      </c>
      <c r="I305" s="2">
        <f t="shared" si="30"/>
        <v>918.25051048175305</v>
      </c>
      <c r="J305" s="2">
        <f t="shared" si="31"/>
        <v>604</v>
      </c>
      <c r="K305" s="11">
        <f t="shared" si="32"/>
        <v>1836.5010209635061</v>
      </c>
      <c r="L305" s="2">
        <f t="shared" si="33"/>
        <v>396</v>
      </c>
      <c r="M305" s="2">
        <f t="shared" si="34"/>
        <v>3671.2718513398777</v>
      </c>
      <c r="N305" s="2">
        <f t="shared" si="35"/>
        <v>799960.20075391792</v>
      </c>
    </row>
    <row r="306" spans="7:14" x14ac:dyDescent="0.25">
      <c r="G306" s="2">
        <v>303</v>
      </c>
      <c r="H306" s="2">
        <f t="shared" si="29"/>
        <v>-919.11043950115152</v>
      </c>
      <c r="I306" s="2">
        <f t="shared" si="30"/>
        <v>919.11043950115152</v>
      </c>
      <c r="J306" s="2">
        <f t="shared" si="31"/>
        <v>606</v>
      </c>
      <c r="K306" s="11">
        <f t="shared" si="32"/>
        <v>1838.220879002303</v>
      </c>
      <c r="L306" s="2">
        <f t="shared" si="33"/>
        <v>394</v>
      </c>
      <c r="M306" s="2">
        <f t="shared" si="34"/>
        <v>3674.7218999658089</v>
      </c>
      <c r="N306" s="2">
        <f t="shared" si="35"/>
        <v>803634.9226538837</v>
      </c>
    </row>
    <row r="307" spans="7:14" x14ac:dyDescent="0.25">
      <c r="G307" s="2">
        <v>304</v>
      </c>
      <c r="H307" s="2">
        <f t="shared" si="29"/>
        <v>-919.96521673376321</v>
      </c>
      <c r="I307" s="2">
        <f t="shared" si="30"/>
        <v>919.96521673376321</v>
      </c>
      <c r="J307" s="2">
        <f t="shared" si="31"/>
        <v>608</v>
      </c>
      <c r="K307" s="11">
        <f t="shared" si="32"/>
        <v>1839.9304334675264</v>
      </c>
      <c r="L307" s="2">
        <f t="shared" si="33"/>
        <v>392</v>
      </c>
      <c r="M307" s="2">
        <f t="shared" si="34"/>
        <v>3678.1513124698295</v>
      </c>
      <c r="N307" s="2">
        <f t="shared" si="35"/>
        <v>807313.07396635355</v>
      </c>
    </row>
    <row r="308" spans="7:14" x14ac:dyDescent="0.25">
      <c r="G308" s="2">
        <v>305</v>
      </c>
      <c r="H308" s="2">
        <f t="shared" si="29"/>
        <v>-920.81485652654408</v>
      </c>
      <c r="I308" s="2">
        <f t="shared" si="30"/>
        <v>920.81485652654408</v>
      </c>
      <c r="J308" s="2">
        <f t="shared" si="31"/>
        <v>610</v>
      </c>
      <c r="K308" s="11">
        <f t="shared" si="32"/>
        <v>1841.6297130530882</v>
      </c>
      <c r="L308" s="2">
        <f t="shared" si="33"/>
        <v>390</v>
      </c>
      <c r="M308" s="2">
        <f t="shared" si="34"/>
        <v>3681.5601465206146</v>
      </c>
      <c r="N308" s="2">
        <f t="shared" si="35"/>
        <v>810994.63411287416</v>
      </c>
    </row>
    <row r="309" spans="7:14" x14ac:dyDescent="0.25">
      <c r="G309" s="2">
        <v>306</v>
      </c>
      <c r="H309" s="2">
        <f t="shared" si="29"/>
        <v>-921.65937308747641</v>
      </c>
      <c r="I309" s="2">
        <f t="shared" si="30"/>
        <v>921.65937308747641</v>
      </c>
      <c r="J309" s="2">
        <f t="shared" si="31"/>
        <v>612</v>
      </c>
      <c r="K309" s="11">
        <f t="shared" si="32"/>
        <v>1843.3187461749528</v>
      </c>
      <c r="L309" s="2">
        <f t="shared" si="33"/>
        <v>388</v>
      </c>
      <c r="M309" s="2">
        <f t="shared" si="34"/>
        <v>3684.948459228041</v>
      </c>
      <c r="N309" s="2">
        <f t="shared" si="35"/>
        <v>814679.5825721022</v>
      </c>
    </row>
    <row r="310" spans="7:14" x14ac:dyDescent="0.25">
      <c r="G310" s="2">
        <v>307</v>
      </c>
      <c r="H310" s="2">
        <f t="shared" si="29"/>
        <v>-922.49878048699884</v>
      </c>
      <c r="I310" s="2">
        <f t="shared" si="30"/>
        <v>922.49878048699884</v>
      </c>
      <c r="J310" s="2">
        <f t="shared" si="31"/>
        <v>614</v>
      </c>
      <c r="K310" s="11">
        <f t="shared" si="32"/>
        <v>1844.9975609739977</v>
      </c>
      <c r="L310" s="2">
        <f t="shared" si="33"/>
        <v>386</v>
      </c>
      <c r="M310" s="2">
        <f t="shared" si="34"/>
        <v>3688.3163071489507</v>
      </c>
      <c r="N310" s="2">
        <f t="shared" si="35"/>
        <v>818367.89887925109</v>
      </c>
    </row>
    <row r="311" spans="7:14" x14ac:dyDescent="0.25">
      <c r="G311" s="2">
        <v>308</v>
      </c>
      <c r="H311" s="2">
        <f t="shared" si="29"/>
        <v>-923.33309265941512</v>
      </c>
      <c r="I311" s="2">
        <f t="shared" si="30"/>
        <v>923.33309265941512</v>
      </c>
      <c r="J311" s="2">
        <f t="shared" si="31"/>
        <v>616</v>
      </c>
      <c r="K311" s="11">
        <f t="shared" si="32"/>
        <v>1846.6661853188302</v>
      </c>
      <c r="L311" s="2">
        <f t="shared" si="33"/>
        <v>384</v>
      </c>
      <c r="M311" s="2">
        <f t="shared" si="34"/>
        <v>3691.6637462928279</v>
      </c>
      <c r="N311" s="2">
        <f t="shared" si="35"/>
        <v>822059.56262554391</v>
      </c>
    </row>
    <row r="312" spans="7:14" x14ac:dyDescent="0.25">
      <c r="G312" s="2">
        <v>309</v>
      </c>
      <c r="H312" s="2">
        <f t="shared" si="29"/>
        <v>-924.16232340428166</v>
      </c>
      <c r="I312" s="2">
        <f t="shared" si="30"/>
        <v>924.16232340428166</v>
      </c>
      <c r="J312" s="2">
        <f t="shared" si="31"/>
        <v>618</v>
      </c>
      <c r="K312" s="11">
        <f t="shared" si="32"/>
        <v>1848.3246468085633</v>
      </c>
      <c r="L312" s="2">
        <f t="shared" si="33"/>
        <v>382</v>
      </c>
      <c r="M312" s="2">
        <f t="shared" si="34"/>
        <v>3694.9908321273933</v>
      </c>
      <c r="N312" s="2">
        <f t="shared" si="35"/>
        <v>825754.55345767131</v>
      </c>
    </row>
    <row r="313" spans="7:14" x14ac:dyDescent="0.25">
      <c r="G313" s="2">
        <v>310</v>
      </c>
      <c r="H313" s="2">
        <f t="shared" si="29"/>
        <v>-924.98648638777422</v>
      </c>
      <c r="I313" s="2">
        <f t="shared" si="30"/>
        <v>924.98648638777422</v>
      </c>
      <c r="J313" s="2">
        <f t="shared" si="31"/>
        <v>620</v>
      </c>
      <c r="K313" s="11">
        <f t="shared" si="32"/>
        <v>1849.9729727755484</v>
      </c>
      <c r="L313" s="2">
        <f t="shared" si="33"/>
        <v>380</v>
      </c>
      <c r="M313" s="2">
        <f t="shared" si="34"/>
        <v>3698.297619584112</v>
      </c>
      <c r="N313" s="2">
        <f t="shared" si="35"/>
        <v>829452.85107725544</v>
      </c>
    </row>
    <row r="314" spans="7:14" x14ac:dyDescent="0.25">
      <c r="G314" s="2">
        <v>311</v>
      </c>
      <c r="H314" s="2">
        <f t="shared" si="29"/>
        <v>-925.80559514403456</v>
      </c>
      <c r="I314" s="2">
        <f t="shared" si="30"/>
        <v>925.80559514403456</v>
      </c>
      <c r="J314" s="2">
        <f t="shared" si="31"/>
        <v>622</v>
      </c>
      <c r="K314" s="11">
        <f t="shared" si="32"/>
        <v>1851.6111902880691</v>
      </c>
      <c r="L314" s="2">
        <f t="shared" si="33"/>
        <v>378</v>
      </c>
      <c r="M314" s="2">
        <f t="shared" si="34"/>
        <v>3701.5841630636178</v>
      </c>
      <c r="N314" s="2">
        <f t="shared" si="35"/>
        <v>833154.43524031912</v>
      </c>
    </row>
    <row r="315" spans="7:14" x14ac:dyDescent="0.25">
      <c r="G315" s="2">
        <v>312</v>
      </c>
      <c r="H315" s="2">
        <f t="shared" si="29"/>
        <v>-926.61966307649652</v>
      </c>
      <c r="I315" s="2">
        <f t="shared" si="30"/>
        <v>926.61966307649652</v>
      </c>
      <c r="J315" s="2">
        <f t="shared" si="31"/>
        <v>624</v>
      </c>
      <c r="K315" s="11">
        <f t="shared" si="32"/>
        <v>1853.239326152993</v>
      </c>
      <c r="L315" s="2">
        <f t="shared" si="33"/>
        <v>376</v>
      </c>
      <c r="M315" s="2">
        <f t="shared" si="34"/>
        <v>3704.8505164410622</v>
      </c>
      <c r="N315" s="2">
        <f t="shared" si="35"/>
        <v>836859.28575676016</v>
      </c>
    </row>
    <row r="316" spans="7:14" x14ac:dyDescent="0.25">
      <c r="G316" s="2">
        <v>313</v>
      </c>
      <c r="H316" s="2">
        <f t="shared" si="29"/>
        <v>-927.42870345919312</v>
      </c>
      <c r="I316" s="2">
        <f t="shared" si="30"/>
        <v>927.42870345919312</v>
      </c>
      <c r="J316" s="2">
        <f t="shared" si="31"/>
        <v>626</v>
      </c>
      <c r="K316" s="11">
        <f t="shared" si="32"/>
        <v>1854.8574069183862</v>
      </c>
      <c r="L316" s="2">
        <f t="shared" si="33"/>
        <v>374</v>
      </c>
      <c r="M316" s="2">
        <f t="shared" si="34"/>
        <v>3708.0967330713793</v>
      </c>
      <c r="N316" s="2">
        <f t="shared" si="35"/>
        <v>840567.38248983154</v>
      </c>
    </row>
    <row r="317" spans="7:14" x14ac:dyDescent="0.25">
      <c r="G317" s="2">
        <v>314</v>
      </c>
      <c r="H317" s="2">
        <f t="shared" si="29"/>
        <v>-928.23272943804341</v>
      </c>
      <c r="I317" s="2">
        <f t="shared" si="30"/>
        <v>928.23272943804341</v>
      </c>
      <c r="J317" s="2">
        <f t="shared" si="31"/>
        <v>628</v>
      </c>
      <c r="K317" s="11">
        <f t="shared" si="32"/>
        <v>1856.4654588760868</v>
      </c>
      <c r="L317" s="2">
        <f t="shared" si="33"/>
        <v>372</v>
      </c>
      <c r="M317" s="2">
        <f t="shared" si="34"/>
        <v>3711.3228657944728</v>
      </c>
      <c r="N317" s="2">
        <f t="shared" si="35"/>
        <v>844278.70535562607</v>
      </c>
    </row>
    <row r="318" spans="7:14" x14ac:dyDescent="0.25">
      <c r="G318" s="2">
        <v>315</v>
      </c>
      <c r="H318" s="2">
        <f t="shared" si="29"/>
        <v>-929.03175403212128</v>
      </c>
      <c r="I318" s="2">
        <f t="shared" si="30"/>
        <v>929.03175403212128</v>
      </c>
      <c r="J318" s="2">
        <f t="shared" si="31"/>
        <v>630</v>
      </c>
      <c r="K318" s="11">
        <f t="shared" si="32"/>
        <v>1858.0635080642426</v>
      </c>
      <c r="L318" s="2">
        <f t="shared" si="33"/>
        <v>370</v>
      </c>
      <c r="M318" s="2">
        <f t="shared" si="34"/>
        <v>3714.5289669403292</v>
      </c>
      <c r="N318" s="2">
        <f t="shared" si="35"/>
        <v>847993.23432256642</v>
      </c>
    </row>
    <row r="319" spans="7:14" x14ac:dyDescent="0.25">
      <c r="G319" s="2">
        <v>316</v>
      </c>
      <c r="H319" s="2">
        <f t="shared" si="29"/>
        <v>-929.82579013490476</v>
      </c>
      <c r="I319" s="2">
        <f t="shared" si="30"/>
        <v>929.82579013490476</v>
      </c>
      <c r="J319" s="2">
        <f t="shared" si="31"/>
        <v>632</v>
      </c>
      <c r="K319" s="11">
        <f t="shared" si="32"/>
        <v>1859.6515802698095</v>
      </c>
      <c r="L319" s="2">
        <f t="shared" si="33"/>
        <v>368</v>
      </c>
      <c r="M319" s="2">
        <f t="shared" si="34"/>
        <v>3717.7150883340519</v>
      </c>
      <c r="N319" s="2">
        <f t="shared" si="35"/>
        <v>851710.94941090047</v>
      </c>
    </row>
    <row r="320" spans="7:14" x14ac:dyDescent="0.25">
      <c r="G320" s="2">
        <v>317</v>
      </c>
      <c r="H320" s="2">
        <f t="shared" si="29"/>
        <v>-930.61485051550733</v>
      </c>
      <c r="I320" s="2">
        <f t="shared" si="30"/>
        <v>930.61485051550733</v>
      </c>
      <c r="J320" s="2">
        <f t="shared" si="31"/>
        <v>634</v>
      </c>
      <c r="K320" s="11">
        <f t="shared" si="32"/>
        <v>1861.2297010310147</v>
      </c>
      <c r="L320" s="2">
        <f t="shared" si="33"/>
        <v>366</v>
      </c>
      <c r="M320" s="2">
        <f t="shared" si="34"/>
        <v>3720.8812813008244</v>
      </c>
      <c r="N320" s="2">
        <f t="shared" si="35"/>
        <v>855431.83069220127</v>
      </c>
    </row>
    <row r="321" spans="7:14" x14ac:dyDescent="0.25">
      <c r="G321" s="2">
        <v>318</v>
      </c>
      <c r="H321" s="2">
        <f t="shared" si="29"/>
        <v>-931.39894781989096</v>
      </c>
      <c r="I321" s="2">
        <f t="shared" si="30"/>
        <v>931.39894781989096</v>
      </c>
      <c r="J321" s="2">
        <f t="shared" si="31"/>
        <v>636</v>
      </c>
      <c r="K321" s="11">
        <f t="shared" si="32"/>
        <v>1862.7978956397819</v>
      </c>
      <c r="L321" s="2">
        <f t="shared" si="33"/>
        <v>364</v>
      </c>
      <c r="M321" s="2">
        <f t="shared" si="34"/>
        <v>3724.0275966707968</v>
      </c>
      <c r="N321" s="2">
        <f t="shared" si="35"/>
        <v>859155.85828887206</v>
      </c>
    </row>
    <row r="322" spans="7:14" x14ac:dyDescent="0.25">
      <c r="G322" s="2">
        <v>319</v>
      </c>
      <c r="H322" s="2">
        <f t="shared" si="29"/>
        <v>-932.17809457206192</v>
      </c>
      <c r="I322" s="2">
        <f t="shared" si="30"/>
        <v>932.17809457206192</v>
      </c>
      <c r="J322" s="2">
        <f t="shared" si="31"/>
        <v>638</v>
      </c>
      <c r="K322" s="11">
        <f t="shared" si="32"/>
        <v>1864.3561891441238</v>
      </c>
      <c r="L322" s="2">
        <f t="shared" si="33"/>
        <v>362</v>
      </c>
      <c r="M322" s="2">
        <f t="shared" si="34"/>
        <v>3727.154084783906</v>
      </c>
      <c r="N322" s="2">
        <f t="shared" si="35"/>
        <v>862883.01237365592</v>
      </c>
    </row>
    <row r="323" spans="7:14" x14ac:dyDescent="0.25">
      <c r="G323" s="2">
        <v>320</v>
      </c>
      <c r="H323" s="2">
        <f t="shared" ref="H323:H386" si="36">IF(G323&lt;POC_BOD,-1*$K323/2,IF(G323=POC_BOD,0,NA()))</f>
        <v>-932.95230317524806</v>
      </c>
      <c r="I323" s="2">
        <f t="shared" ref="I323:I386" si="37">IF(G323&lt;=POC_BOD,$K323/2,IF(G323=POC_BOD,0,NA()))</f>
        <v>932.95230317524806</v>
      </c>
      <c r="J323" s="2">
        <f t="shared" ref="J323:J386" si="38">IF(G323&lt;=POC_BOD,DN_KRUH/POC_BOD*G323,"")</f>
        <v>640</v>
      </c>
      <c r="K323" s="11">
        <f t="shared" ref="K323:K386" si="39">IF(G323&lt;POC_BOD,2*POWER(POWER(R_KRUH,2)-POWER(ABS(J323-DN_KRUH/2),2),0.5),IF(G323=POC_BOD,0,""))</f>
        <v>1865.9046063504961</v>
      </c>
      <c r="L323" s="2">
        <f t="shared" ref="L323:L386" si="40">IF(G323&lt;=POC_BOD,ABS(J323-DN_KRUH/2),IF(G323=POC_BOD,0,""))</f>
        <v>360</v>
      </c>
      <c r="M323" s="2">
        <f t="shared" si="34"/>
        <v>3730.2607954946197</v>
      </c>
      <c r="N323" s="2">
        <f t="shared" si="35"/>
        <v>866613.27316915058</v>
      </c>
    </row>
    <row r="324" spans="7:14" x14ac:dyDescent="0.25">
      <c r="G324" s="2">
        <v>321</v>
      </c>
      <c r="H324" s="2">
        <f t="shared" si="36"/>
        <v>-933.72158591306004</v>
      </c>
      <c r="I324" s="2">
        <f t="shared" si="37"/>
        <v>933.72158591306004</v>
      </c>
      <c r="J324" s="2">
        <f t="shared" si="38"/>
        <v>642</v>
      </c>
      <c r="K324" s="11">
        <f t="shared" si="39"/>
        <v>1867.4431718261201</v>
      </c>
      <c r="L324" s="2">
        <f t="shared" si="40"/>
        <v>358</v>
      </c>
      <c r="M324" s="2">
        <f t="shared" ref="M324:M387" si="41">IF(G323&lt;=POC_BOD,(K323+K324)/2*(J324-J323),"")</f>
        <v>3733.347778176616</v>
      </c>
      <c r="N324" s="2">
        <f t="shared" ref="N324:N387" si="42">IF(G323&lt;=POC_BOD,((K323+K324)/2*(J324-J323))+N323,"")</f>
        <v>870346.62094732723</v>
      </c>
    </row>
    <row r="325" spans="7:14" x14ac:dyDescent="0.25">
      <c r="G325" s="2">
        <v>322</v>
      </c>
      <c r="H325" s="2">
        <f t="shared" si="36"/>
        <v>-934.48595495063489</v>
      </c>
      <c r="I325" s="2">
        <f t="shared" si="37"/>
        <v>934.48595495063489</v>
      </c>
      <c r="J325" s="2">
        <f t="shared" si="38"/>
        <v>644</v>
      </c>
      <c r="K325" s="11">
        <f t="shared" si="39"/>
        <v>1868.9719099012698</v>
      </c>
      <c r="L325" s="2">
        <f t="shared" si="40"/>
        <v>356</v>
      </c>
      <c r="M325" s="2">
        <f t="shared" si="41"/>
        <v>3736.4150817273899</v>
      </c>
      <c r="N325" s="2">
        <f t="shared" si="42"/>
        <v>874083.03602905467</v>
      </c>
    </row>
    <row r="326" spans="7:14" x14ac:dyDescent="0.25">
      <c r="G326" s="2">
        <v>323</v>
      </c>
      <c r="H326" s="2">
        <f t="shared" si="36"/>
        <v>-935.24542233576312</v>
      </c>
      <c r="I326" s="2">
        <f t="shared" si="37"/>
        <v>935.24542233576312</v>
      </c>
      <c r="J326" s="2">
        <f t="shared" si="38"/>
        <v>646</v>
      </c>
      <c r="K326" s="11">
        <f t="shared" si="39"/>
        <v>1870.4908446715262</v>
      </c>
      <c r="L326" s="2">
        <f t="shared" si="40"/>
        <v>354</v>
      </c>
      <c r="M326" s="2">
        <f t="shared" si="41"/>
        <v>3739.4627545727963</v>
      </c>
      <c r="N326" s="2">
        <f t="shared" si="42"/>
        <v>877822.49878362741</v>
      </c>
    </row>
    <row r="327" spans="7:14" x14ac:dyDescent="0.25">
      <c r="G327" s="2">
        <v>324</v>
      </c>
      <c r="H327" s="2">
        <f t="shared" si="36"/>
        <v>-936</v>
      </c>
      <c r="I327" s="2">
        <f t="shared" si="37"/>
        <v>936</v>
      </c>
      <c r="J327" s="2">
        <f t="shared" si="38"/>
        <v>648</v>
      </c>
      <c r="K327" s="11">
        <f t="shared" si="39"/>
        <v>1872</v>
      </c>
      <c r="L327" s="2">
        <f t="shared" si="40"/>
        <v>352</v>
      </c>
      <c r="M327" s="2">
        <f t="shared" si="41"/>
        <v>3742.4908446715262</v>
      </c>
      <c r="N327" s="2">
        <f t="shared" si="42"/>
        <v>881564.98962829891</v>
      </c>
    </row>
    <row r="328" spans="7:14" x14ac:dyDescent="0.25">
      <c r="G328" s="2">
        <v>325</v>
      </c>
      <c r="H328" s="2">
        <f t="shared" si="36"/>
        <v>-936.74969975975978</v>
      </c>
      <c r="I328" s="2">
        <f t="shared" si="37"/>
        <v>936.74969975975978</v>
      </c>
      <c r="J328" s="2">
        <f t="shared" si="38"/>
        <v>650</v>
      </c>
      <c r="K328" s="11">
        <f t="shared" si="39"/>
        <v>1873.4993995195196</v>
      </c>
      <c r="L328" s="2">
        <f t="shared" si="40"/>
        <v>350</v>
      </c>
      <c r="M328" s="2">
        <f t="shared" si="41"/>
        <v>3745.4993995195196</v>
      </c>
      <c r="N328" s="2">
        <f t="shared" si="42"/>
        <v>885310.48902781843</v>
      </c>
    </row>
    <row r="329" spans="7:14" x14ac:dyDescent="0.25">
      <c r="G329" s="2">
        <v>326</v>
      </c>
      <c r="H329" s="2">
        <f t="shared" si="36"/>
        <v>-937.49453331739483</v>
      </c>
      <c r="I329" s="2">
        <f t="shared" si="37"/>
        <v>937.49453331739483</v>
      </c>
      <c r="J329" s="2">
        <f t="shared" si="38"/>
        <v>652</v>
      </c>
      <c r="K329" s="11">
        <f t="shared" si="39"/>
        <v>1874.9890666347897</v>
      </c>
      <c r="L329" s="2">
        <f t="shared" si="40"/>
        <v>348</v>
      </c>
      <c r="M329" s="2">
        <f t="shared" si="41"/>
        <v>3748.4884661543092</v>
      </c>
      <c r="N329" s="2">
        <f t="shared" si="42"/>
        <v>889058.97749397275</v>
      </c>
    </row>
    <row r="330" spans="7:14" x14ac:dyDescent="0.25">
      <c r="G330" s="2">
        <v>327</v>
      </c>
      <c r="H330" s="2">
        <f t="shared" si="36"/>
        <v>-938.2345122622595</v>
      </c>
      <c r="I330" s="2">
        <f t="shared" si="37"/>
        <v>938.2345122622595</v>
      </c>
      <c r="J330" s="2">
        <f t="shared" si="38"/>
        <v>654</v>
      </c>
      <c r="K330" s="11">
        <f t="shared" si="39"/>
        <v>1876.469024524519</v>
      </c>
      <c r="L330" s="2">
        <f t="shared" si="40"/>
        <v>346</v>
      </c>
      <c r="M330" s="2">
        <f t="shared" si="41"/>
        <v>3751.4580911593084</v>
      </c>
      <c r="N330" s="2">
        <f t="shared" si="42"/>
        <v>892810.4355851321</v>
      </c>
    </row>
    <row r="331" spans="7:14" x14ac:dyDescent="0.25">
      <c r="G331" s="2">
        <v>328</v>
      </c>
      <c r="H331" s="2">
        <f t="shared" si="36"/>
        <v>-938.96964807175743</v>
      </c>
      <c r="I331" s="2">
        <f t="shared" si="37"/>
        <v>938.96964807175743</v>
      </c>
      <c r="J331" s="2">
        <f t="shared" si="38"/>
        <v>656</v>
      </c>
      <c r="K331" s="11">
        <f t="shared" si="39"/>
        <v>1877.9392961435149</v>
      </c>
      <c r="L331" s="2">
        <f t="shared" si="40"/>
        <v>344</v>
      </c>
      <c r="M331" s="2">
        <f t="shared" si="41"/>
        <v>3754.4083206680339</v>
      </c>
      <c r="N331" s="2">
        <f t="shared" si="42"/>
        <v>896564.84390580014</v>
      </c>
    </row>
    <row r="332" spans="7:14" x14ac:dyDescent="0.25">
      <c r="G332" s="2">
        <v>329</v>
      </c>
      <c r="H332" s="2">
        <f t="shared" si="36"/>
        <v>-939.69995211237506</v>
      </c>
      <c r="I332" s="2">
        <f t="shared" si="37"/>
        <v>939.69995211237506</v>
      </c>
      <c r="J332" s="2">
        <f t="shared" si="38"/>
        <v>658</v>
      </c>
      <c r="K332" s="11">
        <f t="shared" si="39"/>
        <v>1879.3999042247501</v>
      </c>
      <c r="L332" s="2">
        <f t="shared" si="40"/>
        <v>342</v>
      </c>
      <c r="M332" s="2">
        <f t="shared" si="41"/>
        <v>3757.3392003682648</v>
      </c>
      <c r="N332" s="2">
        <f t="shared" si="42"/>
        <v>900322.18310616841</v>
      </c>
    </row>
    <row r="333" spans="7:14" x14ac:dyDescent="0.25">
      <c r="G333" s="2">
        <v>330</v>
      </c>
      <c r="H333" s="2">
        <f t="shared" si="36"/>
        <v>-940.42543564069979</v>
      </c>
      <c r="I333" s="2">
        <f t="shared" si="37"/>
        <v>940.42543564069979</v>
      </c>
      <c r="J333" s="2">
        <f t="shared" si="38"/>
        <v>660</v>
      </c>
      <c r="K333" s="11">
        <f t="shared" si="39"/>
        <v>1880.8508712813996</v>
      </c>
      <c r="L333" s="2">
        <f t="shared" si="40"/>
        <v>340</v>
      </c>
      <c r="M333" s="2">
        <f t="shared" si="41"/>
        <v>3760.2507755061497</v>
      </c>
      <c r="N333" s="2">
        <f t="shared" si="42"/>
        <v>904082.43388167454</v>
      </c>
    </row>
    <row r="334" spans="7:14" x14ac:dyDescent="0.25">
      <c r="G334" s="2">
        <v>331</v>
      </c>
      <c r="H334" s="2">
        <f t="shared" si="36"/>
        <v>-941.14610980442353</v>
      </c>
      <c r="I334" s="2">
        <f t="shared" si="37"/>
        <v>941.14610980442353</v>
      </c>
      <c r="J334" s="2">
        <f t="shared" si="38"/>
        <v>662</v>
      </c>
      <c r="K334" s="11">
        <f t="shared" si="39"/>
        <v>1882.2922196088471</v>
      </c>
      <c r="L334" s="2">
        <f t="shared" si="40"/>
        <v>338</v>
      </c>
      <c r="M334" s="2">
        <f t="shared" si="41"/>
        <v>3763.1430908902466</v>
      </c>
      <c r="N334" s="2">
        <f t="shared" si="42"/>
        <v>907845.5769725648</v>
      </c>
    </row>
    <row r="335" spans="7:14" x14ac:dyDescent="0.25">
      <c r="G335" s="2">
        <v>332</v>
      </c>
      <c r="H335" s="2">
        <f t="shared" si="36"/>
        <v>-941.86198564333188</v>
      </c>
      <c r="I335" s="2">
        <f t="shared" si="37"/>
        <v>941.86198564333188</v>
      </c>
      <c r="J335" s="2">
        <f t="shared" si="38"/>
        <v>664</v>
      </c>
      <c r="K335" s="11">
        <f t="shared" si="39"/>
        <v>1883.7239712866638</v>
      </c>
      <c r="L335" s="2">
        <f t="shared" si="40"/>
        <v>336</v>
      </c>
      <c r="M335" s="2">
        <f t="shared" si="41"/>
        <v>3766.0161908955106</v>
      </c>
      <c r="N335" s="2">
        <f t="shared" si="42"/>
        <v>911611.59316346026</v>
      </c>
    </row>
    <row r="336" spans="7:14" x14ac:dyDescent="0.25">
      <c r="G336" s="2">
        <v>333</v>
      </c>
      <c r="H336" s="2">
        <f t="shared" si="36"/>
        <v>-942.57307409027976</v>
      </c>
      <c r="I336" s="2">
        <f t="shared" si="37"/>
        <v>942.57307409027976</v>
      </c>
      <c r="J336" s="2">
        <f t="shared" si="38"/>
        <v>666</v>
      </c>
      <c r="K336" s="11">
        <f t="shared" si="39"/>
        <v>1885.1461481805595</v>
      </c>
      <c r="L336" s="2">
        <f t="shared" si="40"/>
        <v>334</v>
      </c>
      <c r="M336" s="2">
        <f t="shared" si="41"/>
        <v>3768.870119467223</v>
      </c>
      <c r="N336" s="2">
        <f t="shared" si="42"/>
        <v>915380.46328292752</v>
      </c>
    </row>
    <row r="337" spans="7:14" x14ac:dyDescent="0.25">
      <c r="G337" s="2">
        <v>334</v>
      </c>
      <c r="H337" s="2">
        <f t="shared" si="36"/>
        <v>-943.279385972152</v>
      </c>
      <c r="I337" s="2">
        <f t="shared" si="37"/>
        <v>943.279385972152</v>
      </c>
      <c r="J337" s="2">
        <f t="shared" si="38"/>
        <v>668</v>
      </c>
      <c r="K337" s="11">
        <f t="shared" si="39"/>
        <v>1886.558771944304</v>
      </c>
      <c r="L337" s="2">
        <f t="shared" si="40"/>
        <v>332</v>
      </c>
      <c r="M337" s="2">
        <f t="shared" si="41"/>
        <v>3771.7049201248637</v>
      </c>
      <c r="N337" s="2">
        <f t="shared" si="42"/>
        <v>919152.16820305237</v>
      </c>
    </row>
    <row r="338" spans="7:14" x14ac:dyDescent="0.25">
      <c r="G338" s="2">
        <v>335</v>
      </c>
      <c r="H338" s="2">
        <f t="shared" si="36"/>
        <v>-943.98093201081133</v>
      </c>
      <c r="I338" s="2">
        <f t="shared" si="37"/>
        <v>943.98093201081133</v>
      </c>
      <c r="J338" s="2">
        <f t="shared" si="38"/>
        <v>670</v>
      </c>
      <c r="K338" s="11">
        <f t="shared" si="39"/>
        <v>1887.9618640216227</v>
      </c>
      <c r="L338" s="2">
        <f t="shared" si="40"/>
        <v>330</v>
      </c>
      <c r="M338" s="2">
        <f t="shared" si="41"/>
        <v>3774.5206359659269</v>
      </c>
      <c r="N338" s="2">
        <f t="shared" si="42"/>
        <v>922926.68883901834</v>
      </c>
    </row>
    <row r="339" spans="7:14" x14ac:dyDescent="0.25">
      <c r="G339" s="2">
        <v>336</v>
      </c>
      <c r="H339" s="2">
        <f t="shared" si="36"/>
        <v>-944.67772282403268</v>
      </c>
      <c r="I339" s="2">
        <f t="shared" si="37"/>
        <v>944.67772282403268</v>
      </c>
      <c r="J339" s="2">
        <f t="shared" si="38"/>
        <v>672</v>
      </c>
      <c r="K339" s="11">
        <f t="shared" si="39"/>
        <v>1889.3554456480654</v>
      </c>
      <c r="L339" s="2">
        <f t="shared" si="40"/>
        <v>328</v>
      </c>
      <c r="M339" s="2">
        <f t="shared" si="41"/>
        <v>3777.3173096696883</v>
      </c>
      <c r="N339" s="2">
        <f t="shared" si="42"/>
        <v>926704.00614868803</v>
      </c>
    </row>
    <row r="340" spans="7:14" x14ac:dyDescent="0.25">
      <c r="G340" s="2">
        <v>337</v>
      </c>
      <c r="H340" s="2">
        <f t="shared" si="36"/>
        <v>-945.36976892642383</v>
      </c>
      <c r="I340" s="2">
        <f t="shared" si="37"/>
        <v>945.36976892642383</v>
      </c>
      <c r="J340" s="2">
        <f t="shared" si="38"/>
        <v>674</v>
      </c>
      <c r="K340" s="11">
        <f t="shared" si="39"/>
        <v>1890.7395378528477</v>
      </c>
      <c r="L340" s="2">
        <f t="shared" si="40"/>
        <v>326</v>
      </c>
      <c r="M340" s="2">
        <f t="shared" si="41"/>
        <v>3780.0949835009133</v>
      </c>
      <c r="N340" s="2">
        <f t="shared" si="42"/>
        <v>930484.10113218892</v>
      </c>
    </row>
    <row r="341" spans="7:14" x14ac:dyDescent="0.25">
      <c r="G341" s="2">
        <v>338</v>
      </c>
      <c r="H341" s="2">
        <f t="shared" si="36"/>
        <v>-946.05708073033315</v>
      </c>
      <c r="I341" s="2">
        <f t="shared" si="37"/>
        <v>946.05708073033315</v>
      </c>
      <c r="J341" s="2">
        <f t="shared" si="38"/>
        <v>676</v>
      </c>
      <c r="K341" s="11">
        <f t="shared" si="39"/>
        <v>1892.1141614606663</v>
      </c>
      <c r="L341" s="2">
        <f t="shared" si="40"/>
        <v>324</v>
      </c>
      <c r="M341" s="2">
        <f t="shared" si="41"/>
        <v>3782.853699313514</v>
      </c>
      <c r="N341" s="2">
        <f t="shared" si="42"/>
        <v>934266.9548315024</v>
      </c>
    </row>
    <row r="342" spans="7:14" x14ac:dyDescent="0.25">
      <c r="G342" s="2">
        <v>339</v>
      </c>
      <c r="H342" s="2">
        <f t="shared" si="36"/>
        <v>-946.73966854674472</v>
      </c>
      <c r="I342" s="2">
        <f t="shared" si="37"/>
        <v>946.73966854674472</v>
      </c>
      <c r="J342" s="2">
        <f t="shared" si="38"/>
        <v>678</v>
      </c>
      <c r="K342" s="11">
        <f t="shared" si="39"/>
        <v>1893.4793370934894</v>
      </c>
      <c r="L342" s="2">
        <f t="shared" si="40"/>
        <v>322</v>
      </c>
      <c r="M342" s="2">
        <f t="shared" si="41"/>
        <v>3785.5934985541558</v>
      </c>
      <c r="N342" s="2">
        <f t="shared" si="42"/>
        <v>938052.5483300566</v>
      </c>
    </row>
    <row r="343" spans="7:14" x14ac:dyDescent="0.25">
      <c r="G343" s="2">
        <v>340</v>
      </c>
      <c r="H343" s="2">
        <f t="shared" si="36"/>
        <v>-947.41754258616095</v>
      </c>
      <c r="I343" s="2">
        <f t="shared" si="37"/>
        <v>947.41754258616095</v>
      </c>
      <c r="J343" s="2">
        <f t="shared" si="38"/>
        <v>680</v>
      </c>
      <c r="K343" s="11">
        <f t="shared" si="39"/>
        <v>1894.8350851723219</v>
      </c>
      <c r="L343" s="2">
        <f t="shared" si="40"/>
        <v>320</v>
      </c>
      <c r="M343" s="2">
        <f t="shared" si="41"/>
        <v>3788.3144222658111</v>
      </c>
      <c r="N343" s="2">
        <f t="shared" si="42"/>
        <v>941840.86275232246</v>
      </c>
    </row>
    <row r="344" spans="7:14" x14ac:dyDescent="0.25">
      <c r="G344" s="2">
        <v>341</v>
      </c>
      <c r="H344" s="2">
        <f t="shared" si="36"/>
        <v>-948.09071295947206</v>
      </c>
      <c r="I344" s="2">
        <f t="shared" si="37"/>
        <v>948.09071295947206</v>
      </c>
      <c r="J344" s="2">
        <f t="shared" si="38"/>
        <v>682</v>
      </c>
      <c r="K344" s="11">
        <f t="shared" si="39"/>
        <v>1896.1814259189441</v>
      </c>
      <c r="L344" s="2">
        <f t="shared" si="40"/>
        <v>318</v>
      </c>
      <c r="M344" s="2">
        <f t="shared" si="41"/>
        <v>3791.0165110912658</v>
      </c>
      <c r="N344" s="2">
        <f t="shared" si="42"/>
        <v>945631.87926341372</v>
      </c>
    </row>
    <row r="345" spans="7:14" x14ac:dyDescent="0.25">
      <c r="G345" s="2">
        <v>342</v>
      </c>
      <c r="H345" s="2">
        <f t="shared" si="36"/>
        <v>-948.7591896788141</v>
      </c>
      <c r="I345" s="2">
        <f t="shared" si="37"/>
        <v>948.7591896788141</v>
      </c>
      <c r="J345" s="2">
        <f t="shared" si="38"/>
        <v>684</v>
      </c>
      <c r="K345" s="11">
        <f t="shared" si="39"/>
        <v>1897.5183793576282</v>
      </c>
      <c r="L345" s="2">
        <f t="shared" si="40"/>
        <v>316</v>
      </c>
      <c r="M345" s="2">
        <f t="shared" si="41"/>
        <v>3793.6998052765721</v>
      </c>
      <c r="N345" s="2">
        <f t="shared" si="42"/>
        <v>949425.57906869031</v>
      </c>
    </row>
    <row r="346" spans="7:14" x14ac:dyDescent="0.25">
      <c r="G346" s="2">
        <v>343</v>
      </c>
      <c r="H346" s="2">
        <f t="shared" si="36"/>
        <v>-949.42298265841453</v>
      </c>
      <c r="I346" s="2">
        <f t="shared" si="37"/>
        <v>949.42298265841453</v>
      </c>
      <c r="J346" s="2">
        <f t="shared" si="38"/>
        <v>686</v>
      </c>
      <c r="K346" s="11">
        <f t="shared" si="39"/>
        <v>1898.8459653168291</v>
      </c>
      <c r="L346" s="2">
        <f t="shared" si="40"/>
        <v>314</v>
      </c>
      <c r="M346" s="2">
        <f t="shared" si="41"/>
        <v>3796.3643446744572</v>
      </c>
      <c r="N346" s="2">
        <f t="shared" si="42"/>
        <v>953221.94341336482</v>
      </c>
    </row>
    <row r="347" spans="7:14" x14ac:dyDescent="0.25">
      <c r="G347" s="2">
        <v>344</v>
      </c>
      <c r="H347" s="2">
        <f t="shared" si="36"/>
        <v>-950.08210171542544</v>
      </c>
      <c r="I347" s="2">
        <f t="shared" si="37"/>
        <v>950.08210171542544</v>
      </c>
      <c r="J347" s="2">
        <f t="shared" si="38"/>
        <v>688</v>
      </c>
      <c r="K347" s="11">
        <f t="shared" si="39"/>
        <v>1900.1642034308509</v>
      </c>
      <c r="L347" s="2">
        <f t="shared" si="40"/>
        <v>312</v>
      </c>
      <c r="M347" s="2">
        <f t="shared" si="41"/>
        <v>3799.0101687476799</v>
      </c>
      <c r="N347" s="2">
        <f t="shared" si="42"/>
        <v>957020.95358211244</v>
      </c>
    </row>
    <row r="348" spans="7:14" x14ac:dyDescent="0.25">
      <c r="G348" s="2">
        <v>345</v>
      </c>
      <c r="H348" s="2">
        <f t="shared" si="36"/>
        <v>-950.73655657074642</v>
      </c>
      <c r="I348" s="2">
        <f t="shared" si="37"/>
        <v>950.73655657074642</v>
      </c>
      <c r="J348" s="2">
        <f t="shared" si="38"/>
        <v>690</v>
      </c>
      <c r="K348" s="11">
        <f t="shared" si="39"/>
        <v>1901.4731131414928</v>
      </c>
      <c r="L348" s="2">
        <f t="shared" si="40"/>
        <v>310</v>
      </c>
      <c r="M348" s="2">
        <f t="shared" si="41"/>
        <v>3801.6373165723435</v>
      </c>
      <c r="N348" s="2">
        <f t="shared" si="42"/>
        <v>960822.59089868481</v>
      </c>
    </row>
    <row r="349" spans="7:14" x14ac:dyDescent="0.25">
      <c r="G349" s="2">
        <v>346</v>
      </c>
      <c r="H349" s="2">
        <f t="shared" si="36"/>
        <v>-951.38635684983421</v>
      </c>
      <c r="I349" s="2">
        <f t="shared" si="37"/>
        <v>951.38635684983421</v>
      </c>
      <c r="J349" s="2">
        <f t="shared" si="38"/>
        <v>692</v>
      </c>
      <c r="K349" s="11">
        <f t="shared" si="39"/>
        <v>1902.7727136996684</v>
      </c>
      <c r="L349" s="2">
        <f t="shared" si="40"/>
        <v>308</v>
      </c>
      <c r="M349" s="2">
        <f t="shared" si="41"/>
        <v>3804.245826841161</v>
      </c>
      <c r="N349" s="2">
        <f t="shared" si="42"/>
        <v>964626.83672552602</v>
      </c>
    </row>
    <row r="350" spans="7:14" x14ac:dyDescent="0.25">
      <c r="G350" s="2">
        <v>347</v>
      </c>
      <c r="H350" s="2">
        <f t="shared" si="36"/>
        <v>-952.03151208350243</v>
      </c>
      <c r="I350" s="2">
        <f t="shared" si="37"/>
        <v>952.03151208350243</v>
      </c>
      <c r="J350" s="2">
        <f t="shared" si="38"/>
        <v>694</v>
      </c>
      <c r="K350" s="11">
        <f t="shared" si="39"/>
        <v>1904.0630241670049</v>
      </c>
      <c r="L350" s="2">
        <f t="shared" si="40"/>
        <v>306</v>
      </c>
      <c r="M350" s="2">
        <f t="shared" si="41"/>
        <v>3806.8357378666733</v>
      </c>
      <c r="N350" s="2">
        <f t="shared" si="42"/>
        <v>968433.67246339272</v>
      </c>
    </row>
    <row r="351" spans="7:14" x14ac:dyDescent="0.25">
      <c r="G351" s="2">
        <v>348</v>
      </c>
      <c r="H351" s="2">
        <f t="shared" si="36"/>
        <v>-952.67203170870926</v>
      </c>
      <c r="I351" s="2">
        <f t="shared" si="37"/>
        <v>952.67203170870926</v>
      </c>
      <c r="J351" s="2">
        <f t="shared" si="38"/>
        <v>696</v>
      </c>
      <c r="K351" s="11">
        <f t="shared" si="39"/>
        <v>1905.3440634174185</v>
      </c>
      <c r="L351" s="2">
        <f t="shared" si="40"/>
        <v>304</v>
      </c>
      <c r="M351" s="2">
        <f t="shared" si="41"/>
        <v>3809.4070875844236</v>
      </c>
      <c r="N351" s="2">
        <f t="shared" si="42"/>
        <v>972243.0795509771</v>
      </c>
    </row>
    <row r="352" spans="7:14" x14ac:dyDescent="0.25">
      <c r="G352" s="2">
        <v>349</v>
      </c>
      <c r="H352" s="2">
        <f t="shared" si="36"/>
        <v>-953.3079250693346</v>
      </c>
      <c r="I352" s="2">
        <f t="shared" si="37"/>
        <v>953.3079250693346</v>
      </c>
      <c r="J352" s="2">
        <f t="shared" si="38"/>
        <v>698</v>
      </c>
      <c r="K352" s="11">
        <f t="shared" si="39"/>
        <v>1906.6158501386692</v>
      </c>
      <c r="L352" s="2">
        <f t="shared" si="40"/>
        <v>302</v>
      </c>
      <c r="M352" s="2">
        <f t="shared" si="41"/>
        <v>3811.9599135560875</v>
      </c>
      <c r="N352" s="2">
        <f t="shared" si="42"/>
        <v>976055.03946453321</v>
      </c>
    </row>
    <row r="353" spans="7:14" x14ac:dyDescent="0.25">
      <c r="G353" s="2">
        <v>350</v>
      </c>
      <c r="H353" s="2">
        <f t="shared" si="36"/>
        <v>-953.93920141694559</v>
      </c>
      <c r="I353" s="2">
        <f t="shared" si="37"/>
        <v>953.93920141694559</v>
      </c>
      <c r="J353" s="2">
        <f t="shared" si="38"/>
        <v>700</v>
      </c>
      <c r="K353" s="11">
        <f t="shared" si="39"/>
        <v>1907.8784028338912</v>
      </c>
      <c r="L353" s="2">
        <f t="shared" si="40"/>
        <v>300</v>
      </c>
      <c r="M353" s="2">
        <f t="shared" si="41"/>
        <v>3814.4942529725604</v>
      </c>
      <c r="N353" s="2">
        <f t="shared" si="42"/>
        <v>979869.53371750575</v>
      </c>
    </row>
    <row r="354" spans="7:14" x14ac:dyDescent="0.25">
      <c r="G354" s="2">
        <v>351</v>
      </c>
      <c r="H354" s="2">
        <f t="shared" si="36"/>
        <v>-954.56586991155302</v>
      </c>
      <c r="I354" s="2">
        <f t="shared" si="37"/>
        <v>954.56586991155302</v>
      </c>
      <c r="J354" s="2">
        <f t="shared" si="38"/>
        <v>702</v>
      </c>
      <c r="K354" s="11">
        <f t="shared" si="39"/>
        <v>1909.131739823106</v>
      </c>
      <c r="L354" s="2">
        <f t="shared" si="40"/>
        <v>298</v>
      </c>
      <c r="M354" s="2">
        <f t="shared" si="41"/>
        <v>3817.0101426569972</v>
      </c>
      <c r="N354" s="2">
        <f t="shared" si="42"/>
        <v>983686.54386016272</v>
      </c>
    </row>
    <row r="355" spans="7:14" x14ac:dyDescent="0.25">
      <c r="G355" s="2">
        <v>352</v>
      </c>
      <c r="H355" s="2">
        <f t="shared" si="36"/>
        <v>-955.1879396223552</v>
      </c>
      <c r="I355" s="2">
        <f t="shared" si="37"/>
        <v>955.1879396223552</v>
      </c>
      <c r="J355" s="2">
        <f t="shared" si="38"/>
        <v>704</v>
      </c>
      <c r="K355" s="11">
        <f t="shared" si="39"/>
        <v>1910.3758792447104</v>
      </c>
      <c r="L355" s="2">
        <f t="shared" si="40"/>
        <v>296</v>
      </c>
      <c r="M355" s="2">
        <f t="shared" si="41"/>
        <v>3819.5076190678164</v>
      </c>
      <c r="N355" s="2">
        <f t="shared" si="42"/>
        <v>987506.05147923052</v>
      </c>
    </row>
    <row r="356" spans="7:14" x14ac:dyDescent="0.25">
      <c r="G356" s="2">
        <v>353</v>
      </c>
      <c r="H356" s="2">
        <f t="shared" si="36"/>
        <v>-955.80541952847284</v>
      </c>
      <c r="I356" s="2">
        <f t="shared" si="37"/>
        <v>955.80541952847284</v>
      </c>
      <c r="J356" s="2">
        <f t="shared" si="38"/>
        <v>706</v>
      </c>
      <c r="K356" s="11">
        <f t="shared" si="39"/>
        <v>1911.6108390569457</v>
      </c>
      <c r="L356" s="2">
        <f t="shared" si="40"/>
        <v>294</v>
      </c>
      <c r="M356" s="2">
        <f t="shared" si="41"/>
        <v>3821.9867183016559</v>
      </c>
      <c r="N356" s="2">
        <f t="shared" si="42"/>
        <v>991328.03819753218</v>
      </c>
    </row>
    <row r="357" spans="7:14" x14ac:dyDescent="0.25">
      <c r="G357" s="2">
        <v>354</v>
      </c>
      <c r="H357" s="2">
        <f t="shared" si="36"/>
        <v>-956.41831851967368</v>
      </c>
      <c r="I357" s="2">
        <f t="shared" si="37"/>
        <v>956.41831851967368</v>
      </c>
      <c r="J357" s="2">
        <f t="shared" si="38"/>
        <v>708</v>
      </c>
      <c r="K357" s="11">
        <f t="shared" si="39"/>
        <v>1912.8366370393474</v>
      </c>
      <c r="L357" s="2">
        <f t="shared" si="40"/>
        <v>292</v>
      </c>
      <c r="M357" s="2">
        <f t="shared" si="41"/>
        <v>3824.447476096293</v>
      </c>
      <c r="N357" s="2">
        <f t="shared" si="42"/>
        <v>995152.48567362851</v>
      </c>
    </row>
    <row r="358" spans="7:14" x14ac:dyDescent="0.25">
      <c r="G358" s="2">
        <v>355</v>
      </c>
      <c r="H358" s="2">
        <f t="shared" si="36"/>
        <v>-957.0266453970861</v>
      </c>
      <c r="I358" s="2">
        <f t="shared" si="37"/>
        <v>957.0266453970861</v>
      </c>
      <c r="J358" s="2">
        <f t="shared" si="38"/>
        <v>710</v>
      </c>
      <c r="K358" s="11">
        <f t="shared" si="39"/>
        <v>1914.0532907941722</v>
      </c>
      <c r="L358" s="2">
        <f t="shared" si="40"/>
        <v>290</v>
      </c>
      <c r="M358" s="2">
        <f t="shared" si="41"/>
        <v>3826.8899278335193</v>
      </c>
      <c r="N358" s="2">
        <f t="shared" si="42"/>
        <v>998979.37560146209</v>
      </c>
    </row>
    <row r="359" spans="7:14" x14ac:dyDescent="0.25">
      <c r="G359" s="2">
        <v>356</v>
      </c>
      <c r="H359" s="2">
        <f t="shared" si="36"/>
        <v>-957.63040887390366</v>
      </c>
      <c r="I359" s="2">
        <f t="shared" si="37"/>
        <v>957.63040887390366</v>
      </c>
      <c r="J359" s="2">
        <f t="shared" si="38"/>
        <v>712</v>
      </c>
      <c r="K359" s="11">
        <f t="shared" si="39"/>
        <v>1915.2608177478073</v>
      </c>
      <c r="L359" s="2">
        <f t="shared" si="40"/>
        <v>288</v>
      </c>
      <c r="M359" s="2">
        <f t="shared" si="41"/>
        <v>3829.3141085419793</v>
      </c>
      <c r="N359" s="2">
        <f t="shared" si="42"/>
        <v>1002808.689710004</v>
      </c>
    </row>
    <row r="360" spans="7:14" x14ac:dyDescent="0.25">
      <c r="G360" s="2">
        <v>357</v>
      </c>
      <c r="H360" s="2">
        <f t="shared" si="36"/>
        <v>-958.2296175760797</v>
      </c>
      <c r="I360" s="2">
        <f t="shared" si="37"/>
        <v>958.2296175760797</v>
      </c>
      <c r="J360" s="2">
        <f t="shared" si="38"/>
        <v>714</v>
      </c>
      <c r="K360" s="11">
        <f t="shared" si="39"/>
        <v>1916.4592351521594</v>
      </c>
      <c r="L360" s="2">
        <f t="shared" si="40"/>
        <v>286</v>
      </c>
      <c r="M360" s="2">
        <f t="shared" si="41"/>
        <v>3831.7200528999665</v>
      </c>
      <c r="N360" s="2">
        <f t="shared" si="42"/>
        <v>1006640.4097629039</v>
      </c>
    </row>
    <row r="361" spans="7:14" x14ac:dyDescent="0.25">
      <c r="G361" s="2">
        <v>358</v>
      </c>
      <c r="H361" s="2">
        <f t="shared" si="36"/>
        <v>-958.82428004301187</v>
      </c>
      <c r="I361" s="2">
        <f t="shared" si="37"/>
        <v>958.82428004301187</v>
      </c>
      <c r="J361" s="2">
        <f t="shared" si="38"/>
        <v>716</v>
      </c>
      <c r="K361" s="11">
        <f t="shared" si="39"/>
        <v>1917.6485600860237</v>
      </c>
      <c r="L361" s="2">
        <f t="shared" si="40"/>
        <v>284</v>
      </c>
      <c r="M361" s="2">
        <f t="shared" si="41"/>
        <v>3834.1077952381829</v>
      </c>
      <c r="N361" s="2">
        <f t="shared" si="42"/>
        <v>1010474.5175581421</v>
      </c>
    </row>
    <row r="362" spans="7:14" x14ac:dyDescent="0.25">
      <c r="G362" s="2">
        <v>359</v>
      </c>
      <c r="H362" s="2">
        <f t="shared" si="36"/>
        <v>-959.41440472821751</v>
      </c>
      <c r="I362" s="2">
        <f t="shared" si="37"/>
        <v>959.41440472821751</v>
      </c>
      <c r="J362" s="2">
        <f t="shared" si="38"/>
        <v>718</v>
      </c>
      <c r="K362" s="11">
        <f t="shared" si="39"/>
        <v>1918.828809456435</v>
      </c>
      <c r="L362" s="2">
        <f t="shared" si="40"/>
        <v>282</v>
      </c>
      <c r="M362" s="2">
        <f t="shared" si="41"/>
        <v>3836.4773695424587</v>
      </c>
      <c r="N362" s="2">
        <f t="shared" si="42"/>
        <v>1014310.9949276845</v>
      </c>
    </row>
    <row r="363" spans="7:14" x14ac:dyDescent="0.25">
      <c r="G363" s="2">
        <v>360</v>
      </c>
      <c r="H363" s="2">
        <f t="shared" si="36"/>
        <v>-960</v>
      </c>
      <c r="I363" s="2">
        <f t="shared" si="37"/>
        <v>960</v>
      </c>
      <c r="J363" s="2">
        <f t="shared" si="38"/>
        <v>720</v>
      </c>
      <c r="K363" s="11">
        <f t="shared" si="39"/>
        <v>1920</v>
      </c>
      <c r="L363" s="2">
        <f t="shared" si="40"/>
        <v>280</v>
      </c>
      <c r="M363" s="2">
        <f t="shared" si="41"/>
        <v>3838.828809456435</v>
      </c>
      <c r="N363" s="2">
        <f t="shared" si="42"/>
        <v>1018149.823737141</v>
      </c>
    </row>
    <row r="364" spans="7:14" x14ac:dyDescent="0.25">
      <c r="G364" s="2">
        <v>361</v>
      </c>
      <c r="H364" s="2">
        <f t="shared" si="36"/>
        <v>-960.58107414210485</v>
      </c>
      <c r="I364" s="2">
        <f t="shared" si="37"/>
        <v>960.58107414210485</v>
      </c>
      <c r="J364" s="2">
        <f t="shared" si="38"/>
        <v>722</v>
      </c>
      <c r="K364" s="11">
        <f t="shared" si="39"/>
        <v>1921.1621482842097</v>
      </c>
      <c r="L364" s="2">
        <f t="shared" si="40"/>
        <v>278</v>
      </c>
      <c r="M364" s="2">
        <f t="shared" si="41"/>
        <v>3841.1621482842097</v>
      </c>
      <c r="N364" s="2">
        <f t="shared" si="42"/>
        <v>1021990.9858854252</v>
      </c>
    </row>
    <row r="365" spans="7:14" x14ac:dyDescent="0.25">
      <c r="G365" s="2">
        <v>362</v>
      </c>
      <c r="H365" s="2">
        <f t="shared" si="36"/>
        <v>-961.15763535436793</v>
      </c>
      <c r="I365" s="2">
        <f t="shared" si="37"/>
        <v>961.15763535436793</v>
      </c>
      <c r="J365" s="2">
        <f t="shared" si="38"/>
        <v>724</v>
      </c>
      <c r="K365" s="11">
        <f t="shared" si="39"/>
        <v>1922.3152707087359</v>
      </c>
      <c r="L365" s="2">
        <f t="shared" si="40"/>
        <v>276</v>
      </c>
      <c r="M365" s="2">
        <f t="shared" si="41"/>
        <v>3843.4774189929458</v>
      </c>
      <c r="N365" s="2">
        <f t="shared" si="42"/>
        <v>1025834.4633044181</v>
      </c>
    </row>
    <row r="366" spans="7:14" x14ac:dyDescent="0.25">
      <c r="G366" s="2">
        <v>363</v>
      </c>
      <c r="H366" s="2">
        <f t="shared" si="36"/>
        <v>-961.72969175335334</v>
      </c>
      <c r="I366" s="2">
        <f t="shared" si="37"/>
        <v>961.72969175335334</v>
      </c>
      <c r="J366" s="2">
        <f t="shared" si="38"/>
        <v>726</v>
      </c>
      <c r="K366" s="11">
        <f t="shared" si="39"/>
        <v>1923.4593835067067</v>
      </c>
      <c r="L366" s="2">
        <f t="shared" si="40"/>
        <v>274</v>
      </c>
      <c r="M366" s="2">
        <f t="shared" si="41"/>
        <v>3845.7746542154428</v>
      </c>
      <c r="N366" s="2">
        <f t="shared" si="42"/>
        <v>1029680.2379586336</v>
      </c>
    </row>
    <row r="367" spans="7:14" x14ac:dyDescent="0.25">
      <c r="G367" s="2">
        <v>364</v>
      </c>
      <c r="H367" s="2">
        <f t="shared" si="36"/>
        <v>-962.29725137298408</v>
      </c>
      <c r="I367" s="2">
        <f t="shared" si="37"/>
        <v>962.29725137298408</v>
      </c>
      <c r="J367" s="2">
        <f t="shared" si="38"/>
        <v>728</v>
      </c>
      <c r="K367" s="11">
        <f t="shared" si="39"/>
        <v>1924.5945027459682</v>
      </c>
      <c r="L367" s="2">
        <f t="shared" si="40"/>
        <v>272</v>
      </c>
      <c r="M367" s="2">
        <f t="shared" si="41"/>
        <v>3848.0538862526746</v>
      </c>
      <c r="N367" s="2">
        <f t="shared" si="42"/>
        <v>1033528.2918448863</v>
      </c>
    </row>
    <row r="368" spans="7:14" x14ac:dyDescent="0.25">
      <c r="G368" s="2">
        <v>365</v>
      </c>
      <c r="H368" s="2">
        <f t="shared" si="36"/>
        <v>-962.86032216516219</v>
      </c>
      <c r="I368" s="2">
        <f t="shared" si="37"/>
        <v>962.86032216516219</v>
      </c>
      <c r="J368" s="2">
        <f t="shared" si="38"/>
        <v>730</v>
      </c>
      <c r="K368" s="11">
        <f t="shared" si="39"/>
        <v>1925.7206443303244</v>
      </c>
      <c r="L368" s="2">
        <f t="shared" si="40"/>
        <v>270</v>
      </c>
      <c r="M368" s="2">
        <f t="shared" si="41"/>
        <v>3850.3151470762923</v>
      </c>
      <c r="N368" s="2">
        <f t="shared" si="42"/>
        <v>1037378.6069919625</v>
      </c>
    </row>
    <row r="369" spans="7:14" x14ac:dyDescent="0.25">
      <c r="G369" s="2">
        <v>366</v>
      </c>
      <c r="H369" s="2">
        <f t="shared" si="36"/>
        <v>-963.41891200038208</v>
      </c>
      <c r="I369" s="2">
        <f t="shared" si="37"/>
        <v>963.41891200038208</v>
      </c>
      <c r="J369" s="2">
        <f t="shared" si="38"/>
        <v>732</v>
      </c>
      <c r="K369" s="11">
        <f t="shared" si="39"/>
        <v>1926.8378240007642</v>
      </c>
      <c r="L369" s="2">
        <f t="shared" si="40"/>
        <v>268</v>
      </c>
      <c r="M369" s="2">
        <f t="shared" si="41"/>
        <v>3852.5584683310885</v>
      </c>
      <c r="N369" s="2">
        <f t="shared" si="42"/>
        <v>1041231.1654602936</v>
      </c>
    </row>
    <row r="370" spans="7:14" x14ac:dyDescent="0.25">
      <c r="G370" s="2">
        <v>367</v>
      </c>
      <c r="H370" s="2">
        <f t="shared" si="36"/>
        <v>-963.97302866833365</v>
      </c>
      <c r="I370" s="2">
        <f t="shared" si="37"/>
        <v>963.97302866833365</v>
      </c>
      <c r="J370" s="2">
        <f t="shared" si="38"/>
        <v>734</v>
      </c>
      <c r="K370" s="11">
        <f t="shared" si="39"/>
        <v>1927.9460573366673</v>
      </c>
      <c r="L370" s="2">
        <f t="shared" si="40"/>
        <v>266</v>
      </c>
      <c r="M370" s="2">
        <f t="shared" si="41"/>
        <v>3854.7838813374315</v>
      </c>
      <c r="N370" s="2">
        <f t="shared" si="42"/>
        <v>1045085.949341631</v>
      </c>
    </row>
    <row r="371" spans="7:14" x14ac:dyDescent="0.25">
      <c r="G371" s="2">
        <v>368</v>
      </c>
      <c r="H371" s="2">
        <f t="shared" si="36"/>
        <v>-964.52267987849825</v>
      </c>
      <c r="I371" s="2">
        <f t="shared" si="37"/>
        <v>964.52267987849825</v>
      </c>
      <c r="J371" s="2">
        <f t="shared" si="38"/>
        <v>736</v>
      </c>
      <c r="K371" s="11">
        <f t="shared" si="39"/>
        <v>1929.0453597569965</v>
      </c>
      <c r="L371" s="2">
        <f t="shared" si="40"/>
        <v>264</v>
      </c>
      <c r="M371" s="2">
        <f t="shared" si="41"/>
        <v>3856.9914170936636</v>
      </c>
      <c r="N371" s="2">
        <f t="shared" si="42"/>
        <v>1048942.9407587247</v>
      </c>
    </row>
    <row r="372" spans="7:14" x14ac:dyDescent="0.25">
      <c r="G372" s="2">
        <v>369</v>
      </c>
      <c r="H372" s="2">
        <f t="shared" si="36"/>
        <v>-965.06787326073595</v>
      </c>
      <c r="I372" s="2">
        <f t="shared" si="37"/>
        <v>965.06787326073595</v>
      </c>
      <c r="J372" s="2">
        <f t="shared" si="38"/>
        <v>738</v>
      </c>
      <c r="K372" s="11">
        <f t="shared" si="39"/>
        <v>1930.1357465214719</v>
      </c>
      <c r="L372" s="2">
        <f t="shared" si="40"/>
        <v>262</v>
      </c>
      <c r="M372" s="2">
        <f t="shared" si="41"/>
        <v>3859.1811062784682</v>
      </c>
      <c r="N372" s="2">
        <f t="shared" si="42"/>
        <v>1052802.1218650031</v>
      </c>
    </row>
    <row r="373" spans="7:14" x14ac:dyDescent="0.25">
      <c r="G373" s="2">
        <v>370</v>
      </c>
      <c r="H373" s="2">
        <f t="shared" si="36"/>
        <v>-965.60861636586492</v>
      </c>
      <c r="I373" s="2">
        <f t="shared" si="37"/>
        <v>965.60861636586492</v>
      </c>
      <c r="J373" s="2">
        <f t="shared" si="38"/>
        <v>740</v>
      </c>
      <c r="K373" s="11">
        <f t="shared" si="39"/>
        <v>1931.2172327317298</v>
      </c>
      <c r="L373" s="2">
        <f t="shared" si="40"/>
        <v>260</v>
      </c>
      <c r="M373" s="2">
        <f t="shared" si="41"/>
        <v>3861.3529792532017</v>
      </c>
      <c r="N373" s="2">
        <f t="shared" si="42"/>
        <v>1056663.4748442564</v>
      </c>
    </row>
    <row r="374" spans="7:14" x14ac:dyDescent="0.25">
      <c r="G374" s="2">
        <v>371</v>
      </c>
      <c r="H374" s="2">
        <f t="shared" si="36"/>
        <v>-966.14491666623178</v>
      </c>
      <c r="I374" s="2">
        <f t="shared" si="37"/>
        <v>966.14491666623178</v>
      </c>
      <c r="J374" s="2">
        <f t="shared" si="38"/>
        <v>742</v>
      </c>
      <c r="K374" s="11">
        <f t="shared" si="39"/>
        <v>1932.2898333324636</v>
      </c>
      <c r="L374" s="2">
        <f t="shared" si="40"/>
        <v>258</v>
      </c>
      <c r="M374" s="2">
        <f t="shared" si="41"/>
        <v>3863.5070660641932</v>
      </c>
      <c r="N374" s="2">
        <f t="shared" si="42"/>
        <v>1060526.9819103207</v>
      </c>
    </row>
    <row r="375" spans="7:14" x14ac:dyDescent="0.25">
      <c r="G375" s="2">
        <v>372</v>
      </c>
      <c r="H375" s="2">
        <f t="shared" si="36"/>
        <v>-966.67678155627596</v>
      </c>
      <c r="I375" s="2">
        <f t="shared" si="37"/>
        <v>966.67678155627596</v>
      </c>
      <c r="J375" s="2">
        <f t="shared" si="38"/>
        <v>744</v>
      </c>
      <c r="K375" s="11">
        <f t="shared" si="39"/>
        <v>1933.3535631125519</v>
      </c>
      <c r="L375" s="2">
        <f t="shared" si="40"/>
        <v>256</v>
      </c>
      <c r="M375" s="2">
        <f t="shared" si="41"/>
        <v>3865.6433964450152</v>
      </c>
      <c r="N375" s="2">
        <f t="shared" si="42"/>
        <v>1064392.6253067658</v>
      </c>
    </row>
    <row r="376" spans="7:14" x14ac:dyDescent="0.25">
      <c r="G376" s="2">
        <v>373</v>
      </c>
      <c r="H376" s="2">
        <f t="shared" si="36"/>
        <v>-967.20421835308389</v>
      </c>
      <c r="I376" s="2">
        <f t="shared" si="37"/>
        <v>967.20421835308389</v>
      </c>
      <c r="J376" s="2">
        <f t="shared" si="38"/>
        <v>746</v>
      </c>
      <c r="K376" s="11">
        <f t="shared" si="39"/>
        <v>1934.4084367061678</v>
      </c>
      <c r="L376" s="2">
        <f t="shared" si="40"/>
        <v>254</v>
      </c>
      <c r="M376" s="2">
        <f t="shared" si="41"/>
        <v>3867.7619998187197</v>
      </c>
      <c r="N376" s="2">
        <f t="shared" si="42"/>
        <v>1068260.3873065845</v>
      </c>
    </row>
    <row r="377" spans="7:14" x14ac:dyDescent="0.25">
      <c r="G377" s="2">
        <v>374</v>
      </c>
      <c r="H377" s="2">
        <f t="shared" si="36"/>
        <v>-967.72723429693758</v>
      </c>
      <c r="I377" s="2">
        <f t="shared" si="37"/>
        <v>967.72723429693758</v>
      </c>
      <c r="J377" s="2">
        <f t="shared" si="38"/>
        <v>748</v>
      </c>
      <c r="K377" s="11">
        <f t="shared" si="39"/>
        <v>1935.4544685938752</v>
      </c>
      <c r="L377" s="2">
        <f t="shared" si="40"/>
        <v>252</v>
      </c>
      <c r="M377" s="2">
        <f t="shared" si="41"/>
        <v>3869.8629053000432</v>
      </c>
      <c r="N377" s="2">
        <f t="shared" si="42"/>
        <v>1072130.2502118845</v>
      </c>
    </row>
    <row r="378" spans="7:14" x14ac:dyDescent="0.25">
      <c r="G378" s="2">
        <v>375</v>
      </c>
      <c r="H378" s="2">
        <f t="shared" si="36"/>
        <v>-968.24583655185427</v>
      </c>
      <c r="I378" s="2">
        <f t="shared" si="37"/>
        <v>968.24583655185427</v>
      </c>
      <c r="J378" s="2">
        <f t="shared" si="38"/>
        <v>750</v>
      </c>
      <c r="K378" s="11">
        <f t="shared" si="39"/>
        <v>1936.4916731037085</v>
      </c>
      <c r="L378" s="2">
        <f t="shared" si="40"/>
        <v>250</v>
      </c>
      <c r="M378" s="2">
        <f t="shared" si="41"/>
        <v>3871.9461416975837</v>
      </c>
      <c r="N378" s="2">
        <f t="shared" si="42"/>
        <v>1076002.1963535822</v>
      </c>
    </row>
    <row r="379" spans="7:14" x14ac:dyDescent="0.25">
      <c r="G379" s="2">
        <v>376</v>
      </c>
      <c r="H379" s="2">
        <f t="shared" si="36"/>
        <v>-968.76003220611858</v>
      </c>
      <c r="I379" s="2">
        <f t="shared" si="37"/>
        <v>968.76003220611858</v>
      </c>
      <c r="J379" s="2">
        <f t="shared" si="38"/>
        <v>752</v>
      </c>
      <c r="K379" s="11">
        <f t="shared" si="39"/>
        <v>1937.5200644122372</v>
      </c>
      <c r="L379" s="2">
        <f t="shared" si="40"/>
        <v>248</v>
      </c>
      <c r="M379" s="2">
        <f t="shared" si="41"/>
        <v>3874.0117375159457</v>
      </c>
      <c r="N379" s="2">
        <f t="shared" si="42"/>
        <v>1079876.2080910981</v>
      </c>
    </row>
    <row r="380" spans="7:14" x14ac:dyDescent="0.25">
      <c r="G380" s="2">
        <v>377</v>
      </c>
      <c r="H380" s="2">
        <f t="shared" si="36"/>
        <v>-969.2698282728087</v>
      </c>
      <c r="I380" s="2">
        <f t="shared" si="37"/>
        <v>969.2698282728087</v>
      </c>
      <c r="J380" s="2">
        <f t="shared" si="38"/>
        <v>754</v>
      </c>
      <c r="K380" s="11">
        <f t="shared" si="39"/>
        <v>1938.5396565456174</v>
      </c>
      <c r="L380" s="2">
        <f t="shared" si="40"/>
        <v>246</v>
      </c>
      <c r="M380" s="2">
        <f t="shared" si="41"/>
        <v>3876.0597209578546</v>
      </c>
      <c r="N380" s="2">
        <f t="shared" si="42"/>
        <v>1083752.267812056</v>
      </c>
    </row>
    <row r="381" spans="7:14" x14ac:dyDescent="0.25">
      <c r="G381" s="2">
        <v>378</v>
      </c>
      <c r="H381" s="2">
        <f t="shared" si="36"/>
        <v>-969.77523169031292</v>
      </c>
      <c r="I381" s="2">
        <f t="shared" si="37"/>
        <v>969.77523169031292</v>
      </c>
      <c r="J381" s="2">
        <f t="shared" si="38"/>
        <v>756</v>
      </c>
      <c r="K381" s="11">
        <f t="shared" si="39"/>
        <v>1939.5504633806258</v>
      </c>
      <c r="L381" s="2">
        <f t="shared" si="40"/>
        <v>244</v>
      </c>
      <c r="M381" s="2">
        <f t="shared" si="41"/>
        <v>3878.0901199262435</v>
      </c>
      <c r="N381" s="2">
        <f t="shared" si="42"/>
        <v>1087630.3579319823</v>
      </c>
    </row>
    <row r="382" spans="7:14" x14ac:dyDescent="0.25">
      <c r="G382" s="2">
        <v>379</v>
      </c>
      <c r="H382" s="2">
        <f t="shared" si="36"/>
        <v>-970.27624932284107</v>
      </c>
      <c r="I382" s="2">
        <f t="shared" si="37"/>
        <v>970.27624932284107</v>
      </c>
      <c r="J382" s="2">
        <f t="shared" si="38"/>
        <v>758</v>
      </c>
      <c r="K382" s="11">
        <f t="shared" si="39"/>
        <v>1940.5524986456821</v>
      </c>
      <c r="L382" s="2">
        <f t="shared" si="40"/>
        <v>242</v>
      </c>
      <c r="M382" s="2">
        <f t="shared" si="41"/>
        <v>3880.102962026308</v>
      </c>
      <c r="N382" s="2">
        <f t="shared" si="42"/>
        <v>1091510.4608940086</v>
      </c>
    </row>
    <row r="383" spans="7:14" x14ac:dyDescent="0.25">
      <c r="G383" s="2">
        <v>380</v>
      </c>
      <c r="H383" s="2">
        <f t="shared" si="36"/>
        <v>-970.77288796092773</v>
      </c>
      <c r="I383" s="2">
        <f t="shared" si="37"/>
        <v>970.77288796092773</v>
      </c>
      <c r="J383" s="2">
        <f t="shared" si="38"/>
        <v>760</v>
      </c>
      <c r="K383" s="11">
        <f t="shared" si="39"/>
        <v>1941.5457759218555</v>
      </c>
      <c r="L383" s="2">
        <f t="shared" si="40"/>
        <v>240</v>
      </c>
      <c r="M383" s="2">
        <f t="shared" si="41"/>
        <v>3882.0982745675374</v>
      </c>
      <c r="N383" s="2">
        <f t="shared" si="42"/>
        <v>1095392.5591685763</v>
      </c>
    </row>
    <row r="384" spans="7:14" x14ac:dyDescent="0.25">
      <c r="G384" s="2">
        <v>381</v>
      </c>
      <c r="H384" s="2">
        <f t="shared" si="36"/>
        <v>-971.26515432192866</v>
      </c>
      <c r="I384" s="2">
        <f t="shared" si="37"/>
        <v>971.26515432192866</v>
      </c>
      <c r="J384" s="2">
        <f t="shared" si="38"/>
        <v>762</v>
      </c>
      <c r="K384" s="11">
        <f t="shared" si="39"/>
        <v>1942.5303086438573</v>
      </c>
      <c r="L384" s="2">
        <f t="shared" si="40"/>
        <v>238</v>
      </c>
      <c r="M384" s="2">
        <f t="shared" si="41"/>
        <v>3884.0760845657128</v>
      </c>
      <c r="N384" s="2">
        <f t="shared" si="42"/>
        <v>1099276.6352531419</v>
      </c>
    </row>
    <row r="385" spans="7:14" x14ac:dyDescent="0.25">
      <c r="G385" s="2">
        <v>382</v>
      </c>
      <c r="H385" s="2">
        <f t="shared" si="36"/>
        <v>-971.75305505051028</v>
      </c>
      <c r="I385" s="2">
        <f t="shared" si="37"/>
        <v>971.75305505051028</v>
      </c>
      <c r="J385" s="2">
        <f t="shared" si="38"/>
        <v>764</v>
      </c>
      <c r="K385" s="11">
        <f t="shared" si="39"/>
        <v>1943.5061101010206</v>
      </c>
      <c r="L385" s="2">
        <f t="shared" si="40"/>
        <v>236</v>
      </c>
      <c r="M385" s="2">
        <f t="shared" si="41"/>
        <v>3886.0364187448777</v>
      </c>
      <c r="N385" s="2">
        <f t="shared" si="42"/>
        <v>1103162.6716718867</v>
      </c>
    </row>
    <row r="386" spans="7:14" x14ac:dyDescent="0.25">
      <c r="G386" s="2">
        <v>383</v>
      </c>
      <c r="H386" s="2">
        <f t="shared" si="36"/>
        <v>-972.23659671913197</v>
      </c>
      <c r="I386" s="2">
        <f t="shared" si="37"/>
        <v>972.23659671913197</v>
      </c>
      <c r="J386" s="2">
        <f t="shared" si="38"/>
        <v>766</v>
      </c>
      <c r="K386" s="11">
        <f t="shared" si="39"/>
        <v>1944.4731934382639</v>
      </c>
      <c r="L386" s="2">
        <f t="shared" si="40"/>
        <v>234</v>
      </c>
      <c r="M386" s="2">
        <f t="shared" si="41"/>
        <v>3887.9793035392845</v>
      </c>
      <c r="N386" s="2">
        <f t="shared" si="42"/>
        <v>1107050.650975426</v>
      </c>
    </row>
    <row r="387" spans="7:14" x14ac:dyDescent="0.25">
      <c r="G387" s="2">
        <v>384</v>
      </c>
      <c r="H387" s="2">
        <f t="shared" ref="H387:H450" si="43">IF(G387&lt;POC_BOD,-1*$K387/2,IF(G387=POC_BOD,0,NA()))</f>
        <v>-972.71578582852248</v>
      </c>
      <c r="I387" s="2">
        <f t="shared" ref="I387:I450" si="44">IF(G387&lt;=POC_BOD,$K387/2,IF(G387=POC_BOD,0,NA()))</f>
        <v>972.71578582852248</v>
      </c>
      <c r="J387" s="2">
        <f t="shared" ref="J387:J450" si="45">IF(G387&lt;=POC_BOD,DN_KRUH/POC_BOD*G387,"")</f>
        <v>768</v>
      </c>
      <c r="K387" s="11">
        <f t="shared" ref="K387:K450" si="46">IF(G387&lt;POC_BOD,2*POWER(POWER(R_KRUH,2)-POWER(ABS(J387-DN_KRUH/2),2),0.5),IF(G387=POC_BOD,0,""))</f>
        <v>1945.431571657045</v>
      </c>
      <c r="L387" s="2">
        <f t="shared" ref="L387:L450" si="47">IF(G387&lt;=POC_BOD,ABS(J387-DN_KRUH/2),IF(G387=POC_BOD,0,""))</f>
        <v>232</v>
      </c>
      <c r="M387" s="2">
        <f t="shared" si="41"/>
        <v>3889.9047650953089</v>
      </c>
      <c r="N387" s="2">
        <f t="shared" si="42"/>
        <v>1110940.5557405213</v>
      </c>
    </row>
    <row r="388" spans="7:14" x14ac:dyDescent="0.25">
      <c r="G388" s="2">
        <v>385</v>
      </c>
      <c r="H388" s="2">
        <f t="shared" si="43"/>
        <v>-973.19062880814874</v>
      </c>
      <c r="I388" s="2">
        <f t="shared" si="44"/>
        <v>973.19062880814874</v>
      </c>
      <c r="J388" s="2">
        <f t="shared" si="45"/>
        <v>770</v>
      </c>
      <c r="K388" s="11">
        <f t="shared" si="46"/>
        <v>1946.3812576162975</v>
      </c>
      <c r="L388" s="2">
        <f t="shared" si="47"/>
        <v>230</v>
      </c>
      <c r="M388" s="2">
        <f t="shared" ref="M388:M451" si="48">IF(G387&lt;=POC_BOD,(K387+K388)/2*(J388-J387),"")</f>
        <v>3891.8128292733427</v>
      </c>
      <c r="N388" s="2">
        <f t="shared" ref="N388:N451" si="49">IF(G387&lt;=POC_BOD,((K387+K388)/2*(J388-J387))+N387,"")</f>
        <v>1114832.3685697946</v>
      </c>
    </row>
    <row r="389" spans="7:14" x14ac:dyDescent="0.25">
      <c r="G389" s="2">
        <v>386</v>
      </c>
      <c r="H389" s="2">
        <f t="shared" si="43"/>
        <v>-973.66113201667861</v>
      </c>
      <c r="I389" s="2">
        <f t="shared" si="44"/>
        <v>973.66113201667861</v>
      </c>
      <c r="J389" s="2">
        <f t="shared" si="45"/>
        <v>772</v>
      </c>
      <c r="K389" s="11">
        <f t="shared" si="46"/>
        <v>1947.3222640333572</v>
      </c>
      <c r="L389" s="2">
        <f t="shared" si="47"/>
        <v>228</v>
      </c>
      <c r="M389" s="2">
        <f t="shared" si="48"/>
        <v>3893.7035216496547</v>
      </c>
      <c r="N389" s="2">
        <f t="shared" si="49"/>
        <v>1118726.0720914442</v>
      </c>
    </row>
    <row r="390" spans="7:14" x14ac:dyDescent="0.25">
      <c r="G390" s="2">
        <v>387</v>
      </c>
      <c r="H390" s="2">
        <f t="shared" si="43"/>
        <v>-974.12730174243654</v>
      </c>
      <c r="I390" s="2">
        <f t="shared" si="44"/>
        <v>974.12730174243654</v>
      </c>
      <c r="J390" s="2">
        <f t="shared" si="45"/>
        <v>774</v>
      </c>
      <c r="K390" s="11">
        <f t="shared" si="46"/>
        <v>1948.2546034848731</v>
      </c>
      <c r="L390" s="2">
        <f t="shared" si="47"/>
        <v>226</v>
      </c>
      <c r="M390" s="2">
        <f t="shared" si="48"/>
        <v>3895.5768675182303</v>
      </c>
      <c r="N390" s="2">
        <f t="shared" si="49"/>
        <v>1122621.6489589624</v>
      </c>
    </row>
    <row r="391" spans="7:14" x14ac:dyDescent="0.25">
      <c r="G391" s="2">
        <v>388</v>
      </c>
      <c r="H391" s="2">
        <f t="shared" si="43"/>
        <v>-974.58914420385372</v>
      </c>
      <c r="I391" s="2">
        <f t="shared" si="44"/>
        <v>974.58914420385372</v>
      </c>
      <c r="J391" s="2">
        <f t="shared" si="45"/>
        <v>776</v>
      </c>
      <c r="K391" s="11">
        <f t="shared" si="46"/>
        <v>1949.1782884077074</v>
      </c>
      <c r="L391" s="2">
        <f t="shared" si="47"/>
        <v>224</v>
      </c>
      <c r="M391" s="2">
        <f t="shared" si="48"/>
        <v>3897.4328918925803</v>
      </c>
      <c r="N391" s="2">
        <f t="shared" si="49"/>
        <v>1126519.0818508549</v>
      </c>
    </row>
    <row r="392" spans="7:14" x14ac:dyDescent="0.25">
      <c r="G392" s="2">
        <v>389</v>
      </c>
      <c r="H392" s="2">
        <f t="shared" si="43"/>
        <v>-975.04666554991104</v>
      </c>
      <c r="I392" s="2">
        <f t="shared" si="44"/>
        <v>975.04666554991104</v>
      </c>
      <c r="J392" s="2">
        <f t="shared" si="45"/>
        <v>778</v>
      </c>
      <c r="K392" s="11">
        <f t="shared" si="46"/>
        <v>1950.0933310998221</v>
      </c>
      <c r="L392" s="2">
        <f t="shared" si="47"/>
        <v>222</v>
      </c>
      <c r="M392" s="2">
        <f t="shared" si="48"/>
        <v>3899.2716195075295</v>
      </c>
      <c r="N392" s="2">
        <f t="shared" si="49"/>
        <v>1130418.3534703625</v>
      </c>
    </row>
    <row r="393" spans="7:14" x14ac:dyDescent="0.25">
      <c r="G393" s="2">
        <v>390</v>
      </c>
      <c r="H393" s="2">
        <f t="shared" si="43"/>
        <v>-975.49987186057592</v>
      </c>
      <c r="I393" s="2">
        <f t="shared" si="44"/>
        <v>975.49987186057592</v>
      </c>
      <c r="J393" s="2">
        <f t="shared" si="45"/>
        <v>780</v>
      </c>
      <c r="K393" s="11">
        <f t="shared" si="46"/>
        <v>1950.9997437211518</v>
      </c>
      <c r="L393" s="2">
        <f t="shared" si="47"/>
        <v>220</v>
      </c>
      <c r="M393" s="2">
        <f t="shared" si="48"/>
        <v>3901.0930748209739</v>
      </c>
      <c r="N393" s="2">
        <f t="shared" si="49"/>
        <v>1134319.4465451834</v>
      </c>
    </row>
    <row r="394" spans="7:14" x14ac:dyDescent="0.25">
      <c r="G394" s="2">
        <v>391</v>
      </c>
      <c r="H394" s="2">
        <f t="shared" si="43"/>
        <v>-975.94876914723352</v>
      </c>
      <c r="I394" s="2">
        <f t="shared" si="44"/>
        <v>975.94876914723352</v>
      </c>
      <c r="J394" s="2">
        <f t="shared" si="45"/>
        <v>782</v>
      </c>
      <c r="K394" s="11">
        <f t="shared" si="46"/>
        <v>1951.897538294467</v>
      </c>
      <c r="L394" s="2">
        <f t="shared" si="47"/>
        <v>218</v>
      </c>
      <c r="M394" s="2">
        <f t="shared" si="48"/>
        <v>3902.8972820156187</v>
      </c>
      <c r="N394" s="2">
        <f t="shared" si="49"/>
        <v>1138222.343827199</v>
      </c>
    </row>
    <row r="395" spans="7:14" x14ac:dyDescent="0.25">
      <c r="G395" s="2">
        <v>392</v>
      </c>
      <c r="H395" s="2">
        <f t="shared" si="43"/>
        <v>-976.39336335311089</v>
      </c>
      <c r="I395" s="2">
        <f t="shared" si="44"/>
        <v>976.39336335311089</v>
      </c>
      <c r="J395" s="2">
        <f t="shared" si="45"/>
        <v>784</v>
      </c>
      <c r="K395" s="11">
        <f t="shared" si="46"/>
        <v>1952.7867267062218</v>
      </c>
      <c r="L395" s="2">
        <f t="shared" si="47"/>
        <v>216</v>
      </c>
      <c r="M395" s="2">
        <f t="shared" si="48"/>
        <v>3904.6842650006888</v>
      </c>
      <c r="N395" s="2">
        <f t="shared" si="49"/>
        <v>1142127.0280921997</v>
      </c>
    </row>
    <row r="396" spans="7:14" x14ac:dyDescent="0.25">
      <c r="G396" s="2">
        <v>393</v>
      </c>
      <c r="H396" s="2">
        <f t="shared" si="43"/>
        <v>-976.83366035369602</v>
      </c>
      <c r="I396" s="2">
        <f t="shared" si="44"/>
        <v>976.83366035369602</v>
      </c>
      <c r="J396" s="2">
        <f t="shared" si="45"/>
        <v>786</v>
      </c>
      <c r="K396" s="11">
        <f t="shared" si="46"/>
        <v>1953.667320707392</v>
      </c>
      <c r="L396" s="2">
        <f t="shared" si="47"/>
        <v>214</v>
      </c>
      <c r="M396" s="2">
        <f t="shared" si="48"/>
        <v>3906.4540474136138</v>
      </c>
      <c r="N396" s="2">
        <f t="shared" si="49"/>
        <v>1146033.4821396132</v>
      </c>
    </row>
    <row r="397" spans="7:14" x14ac:dyDescent="0.25">
      <c r="G397" s="2">
        <v>394</v>
      </c>
      <c r="H397" s="2">
        <f t="shared" si="43"/>
        <v>-977.26966595715021</v>
      </c>
      <c r="I397" s="2">
        <f t="shared" si="44"/>
        <v>977.26966595715021</v>
      </c>
      <c r="J397" s="2">
        <f t="shared" si="45"/>
        <v>788</v>
      </c>
      <c r="K397" s="11">
        <f t="shared" si="46"/>
        <v>1954.5393319143004</v>
      </c>
      <c r="L397" s="2">
        <f t="shared" si="47"/>
        <v>212</v>
      </c>
      <c r="M397" s="2">
        <f t="shared" si="48"/>
        <v>3908.2066526216922</v>
      </c>
      <c r="N397" s="2">
        <f t="shared" si="49"/>
        <v>1149941.688792235</v>
      </c>
    </row>
    <row r="398" spans="7:14" x14ac:dyDescent="0.25">
      <c r="G398" s="2">
        <v>395</v>
      </c>
      <c r="H398" s="2">
        <f t="shared" si="43"/>
        <v>-977.70138590471481</v>
      </c>
      <c r="I398" s="2">
        <f t="shared" si="44"/>
        <v>977.70138590471481</v>
      </c>
      <c r="J398" s="2">
        <f t="shared" si="45"/>
        <v>790</v>
      </c>
      <c r="K398" s="11">
        <f t="shared" si="46"/>
        <v>1955.4027718094296</v>
      </c>
      <c r="L398" s="2">
        <f t="shared" si="47"/>
        <v>210</v>
      </c>
      <c r="M398" s="2">
        <f t="shared" si="48"/>
        <v>3909.9421037237298</v>
      </c>
      <c r="N398" s="2">
        <f t="shared" si="49"/>
        <v>1153851.6308959587</v>
      </c>
    </row>
    <row r="399" spans="7:14" x14ac:dyDescent="0.25">
      <c r="G399" s="2">
        <v>396</v>
      </c>
      <c r="H399" s="2">
        <f t="shared" si="43"/>
        <v>-978.12882587111199</v>
      </c>
      <c r="I399" s="2">
        <f t="shared" si="44"/>
        <v>978.12882587111199</v>
      </c>
      <c r="J399" s="2">
        <f t="shared" si="45"/>
        <v>792</v>
      </c>
      <c r="K399" s="11">
        <f t="shared" si="46"/>
        <v>1956.257651742224</v>
      </c>
      <c r="L399" s="2">
        <f t="shared" si="47"/>
        <v>208</v>
      </c>
      <c r="M399" s="2">
        <f t="shared" si="48"/>
        <v>3911.6604235516534</v>
      </c>
      <c r="N399" s="2">
        <f t="shared" si="49"/>
        <v>1157763.2913195104</v>
      </c>
    </row>
    <row r="400" spans="7:14" x14ac:dyDescent="0.25">
      <c r="G400" s="2">
        <v>397</v>
      </c>
      <c r="H400" s="2">
        <f t="shared" si="43"/>
        <v>-978.55199146493999</v>
      </c>
      <c r="I400" s="2">
        <f t="shared" si="44"/>
        <v>978.55199146493999</v>
      </c>
      <c r="J400" s="2">
        <f t="shared" si="45"/>
        <v>794</v>
      </c>
      <c r="K400" s="11">
        <f t="shared" si="46"/>
        <v>1957.10398292988</v>
      </c>
      <c r="L400" s="2">
        <f t="shared" si="47"/>
        <v>206</v>
      </c>
      <c r="M400" s="2">
        <f t="shared" si="48"/>
        <v>3913.3616346721037</v>
      </c>
      <c r="N400" s="2">
        <f t="shared" si="49"/>
        <v>1161676.6529541826</v>
      </c>
    </row>
    <row r="401" spans="7:14" x14ac:dyDescent="0.25">
      <c r="G401" s="2">
        <v>398</v>
      </c>
      <c r="H401" s="2">
        <f t="shared" si="43"/>
        <v>-978.97088822906267</v>
      </c>
      <c r="I401" s="2">
        <f t="shared" si="44"/>
        <v>978.97088822906267</v>
      </c>
      <c r="J401" s="2">
        <f t="shared" si="45"/>
        <v>796</v>
      </c>
      <c r="K401" s="11">
        <f t="shared" si="46"/>
        <v>1957.9417764581253</v>
      </c>
      <c r="L401" s="2">
        <f t="shared" si="47"/>
        <v>204</v>
      </c>
      <c r="M401" s="2">
        <f t="shared" si="48"/>
        <v>3915.0457593880055</v>
      </c>
      <c r="N401" s="2">
        <f t="shared" si="49"/>
        <v>1165591.6987135706</v>
      </c>
    </row>
    <row r="402" spans="7:14" x14ac:dyDescent="0.25">
      <c r="G402" s="2">
        <v>399</v>
      </c>
      <c r="H402" s="2">
        <f t="shared" si="43"/>
        <v>-979.38552164099303</v>
      </c>
      <c r="I402" s="2">
        <f t="shared" si="44"/>
        <v>979.38552164099303</v>
      </c>
      <c r="J402" s="2">
        <f t="shared" si="45"/>
        <v>798</v>
      </c>
      <c r="K402" s="11">
        <f t="shared" si="46"/>
        <v>1958.7710432819861</v>
      </c>
      <c r="L402" s="2">
        <f t="shared" si="47"/>
        <v>202</v>
      </c>
      <c r="M402" s="2">
        <f t="shared" si="48"/>
        <v>3916.7128197401116</v>
      </c>
      <c r="N402" s="2">
        <f t="shared" si="49"/>
        <v>1169508.4115333108</v>
      </c>
    </row>
    <row r="403" spans="7:14" x14ac:dyDescent="0.25">
      <c r="G403" s="2">
        <v>400</v>
      </c>
      <c r="H403" s="2">
        <f t="shared" si="43"/>
        <v>-979.79589711327128</v>
      </c>
      <c r="I403" s="2">
        <f t="shared" si="44"/>
        <v>979.79589711327128</v>
      </c>
      <c r="J403" s="2">
        <f t="shared" si="45"/>
        <v>800</v>
      </c>
      <c r="K403" s="11">
        <f t="shared" si="46"/>
        <v>1959.5917942265426</v>
      </c>
      <c r="L403" s="2">
        <f t="shared" si="47"/>
        <v>200</v>
      </c>
      <c r="M403" s="2">
        <f t="shared" si="48"/>
        <v>3918.3628375085286</v>
      </c>
      <c r="N403" s="2">
        <f t="shared" si="49"/>
        <v>1173426.7743708193</v>
      </c>
    </row>
    <row r="404" spans="7:14" x14ac:dyDescent="0.25">
      <c r="G404" s="2">
        <v>401</v>
      </c>
      <c r="H404" s="2">
        <f t="shared" si="43"/>
        <v>-980.20201999383778</v>
      </c>
      <c r="I404" s="2">
        <f t="shared" si="44"/>
        <v>980.20201999383778</v>
      </c>
      <c r="J404" s="2">
        <f t="shared" si="45"/>
        <v>802</v>
      </c>
      <c r="K404" s="11">
        <f t="shared" si="46"/>
        <v>1960.4040399876756</v>
      </c>
      <c r="L404" s="2">
        <f t="shared" si="47"/>
        <v>198</v>
      </c>
      <c r="M404" s="2">
        <f t="shared" si="48"/>
        <v>3919.9958342142181</v>
      </c>
      <c r="N404" s="2">
        <f t="shared" si="49"/>
        <v>1177346.7702050335</v>
      </c>
    </row>
    <row r="405" spans="7:14" x14ac:dyDescent="0.25">
      <c r="G405" s="2">
        <v>402</v>
      </c>
      <c r="H405" s="2">
        <f t="shared" si="43"/>
        <v>-980.60389556640041</v>
      </c>
      <c r="I405" s="2">
        <f t="shared" si="44"/>
        <v>980.60389556640041</v>
      </c>
      <c r="J405" s="2">
        <f t="shared" si="45"/>
        <v>804</v>
      </c>
      <c r="K405" s="11">
        <f t="shared" si="46"/>
        <v>1961.2077911328008</v>
      </c>
      <c r="L405" s="2">
        <f t="shared" si="47"/>
        <v>196</v>
      </c>
      <c r="M405" s="2">
        <f t="shared" si="48"/>
        <v>3921.6118311204764</v>
      </c>
      <c r="N405" s="2">
        <f t="shared" si="49"/>
        <v>1181268.3820361539</v>
      </c>
    </row>
    <row r="406" spans="7:14" x14ac:dyDescent="0.25">
      <c r="G406" s="2">
        <v>403</v>
      </c>
      <c r="H406" s="2">
        <f t="shared" si="43"/>
        <v>-981.00152905079608</v>
      </c>
      <c r="I406" s="2">
        <f t="shared" si="44"/>
        <v>981.00152905079608</v>
      </c>
      <c r="J406" s="2">
        <f t="shared" si="45"/>
        <v>806</v>
      </c>
      <c r="K406" s="11">
        <f t="shared" si="46"/>
        <v>1962.0030581015922</v>
      </c>
      <c r="L406" s="2">
        <f t="shared" si="47"/>
        <v>194</v>
      </c>
      <c r="M406" s="2">
        <f t="shared" si="48"/>
        <v>3923.2108492343932</v>
      </c>
      <c r="N406" s="2">
        <f t="shared" si="49"/>
        <v>1185191.5928853883</v>
      </c>
    </row>
    <row r="407" spans="7:14" x14ac:dyDescent="0.25">
      <c r="G407" s="2">
        <v>404</v>
      </c>
      <c r="H407" s="2">
        <f t="shared" si="43"/>
        <v>-981.39492560334747</v>
      </c>
      <c r="I407" s="2">
        <f t="shared" si="44"/>
        <v>981.39492560334747</v>
      </c>
      <c r="J407" s="2">
        <f t="shared" si="45"/>
        <v>808</v>
      </c>
      <c r="K407" s="11">
        <f t="shared" si="46"/>
        <v>1962.7898512066949</v>
      </c>
      <c r="L407" s="2">
        <f t="shared" si="47"/>
        <v>192</v>
      </c>
      <c r="M407" s="2">
        <f t="shared" si="48"/>
        <v>3924.7929093082871</v>
      </c>
      <c r="N407" s="2">
        <f t="shared" si="49"/>
        <v>1189116.3857946966</v>
      </c>
    </row>
    <row r="408" spans="7:14" x14ac:dyDescent="0.25">
      <c r="G408" s="2">
        <v>405</v>
      </c>
      <c r="H408" s="2">
        <f t="shared" si="43"/>
        <v>-981.78409031721435</v>
      </c>
      <c r="I408" s="2">
        <f t="shared" si="44"/>
        <v>981.78409031721435</v>
      </c>
      <c r="J408" s="2">
        <f t="shared" si="45"/>
        <v>810</v>
      </c>
      <c r="K408" s="11">
        <f t="shared" si="46"/>
        <v>1963.5681806344287</v>
      </c>
      <c r="L408" s="2">
        <f t="shared" si="47"/>
        <v>190</v>
      </c>
      <c r="M408" s="2">
        <f t="shared" si="48"/>
        <v>3926.3580318411236</v>
      </c>
      <c r="N408" s="2">
        <f t="shared" si="49"/>
        <v>1193042.7438265379</v>
      </c>
    </row>
    <row r="409" spans="7:14" x14ac:dyDescent="0.25">
      <c r="G409" s="2">
        <v>406</v>
      </c>
      <c r="H409" s="2">
        <f t="shared" si="43"/>
        <v>-982.16902822273926</v>
      </c>
      <c r="I409" s="2">
        <f t="shared" si="44"/>
        <v>982.16902822273926</v>
      </c>
      <c r="J409" s="2">
        <f t="shared" si="45"/>
        <v>812</v>
      </c>
      <c r="K409" s="11">
        <f t="shared" si="46"/>
        <v>1964.3380564454785</v>
      </c>
      <c r="L409" s="2">
        <f t="shared" si="47"/>
        <v>188</v>
      </c>
      <c r="M409" s="2">
        <f t="shared" si="48"/>
        <v>3927.9062370799074</v>
      </c>
      <c r="N409" s="2">
        <f t="shared" si="49"/>
        <v>1196970.6500636179</v>
      </c>
    </row>
    <row r="410" spans="7:14" x14ac:dyDescent="0.25">
      <c r="G410" s="2">
        <v>407</v>
      </c>
      <c r="H410" s="2">
        <f t="shared" si="43"/>
        <v>-982.54974428778928</v>
      </c>
      <c r="I410" s="2">
        <f t="shared" si="44"/>
        <v>982.54974428778928</v>
      </c>
      <c r="J410" s="2">
        <f t="shared" si="45"/>
        <v>814</v>
      </c>
      <c r="K410" s="11">
        <f t="shared" si="46"/>
        <v>1965.0994885755786</v>
      </c>
      <c r="L410" s="2">
        <f t="shared" si="47"/>
        <v>186</v>
      </c>
      <c r="M410" s="2">
        <f t="shared" si="48"/>
        <v>3929.4375450210573</v>
      </c>
      <c r="N410" s="2">
        <f t="shared" si="49"/>
        <v>1200900.0876086389</v>
      </c>
    </row>
    <row r="411" spans="7:14" x14ac:dyDescent="0.25">
      <c r="G411" s="2">
        <v>408</v>
      </c>
      <c r="H411" s="2">
        <f t="shared" si="43"/>
        <v>-982.92624341809085</v>
      </c>
      <c r="I411" s="2">
        <f t="shared" si="44"/>
        <v>982.92624341809085</v>
      </c>
      <c r="J411" s="2">
        <f t="shared" si="45"/>
        <v>816</v>
      </c>
      <c r="K411" s="11">
        <f t="shared" si="46"/>
        <v>1965.8524868361817</v>
      </c>
      <c r="L411" s="2">
        <f t="shared" si="47"/>
        <v>184</v>
      </c>
      <c r="M411" s="2">
        <f t="shared" si="48"/>
        <v>3930.95197541176</v>
      </c>
      <c r="N411" s="2">
        <f t="shared" si="49"/>
        <v>1204831.0395840507</v>
      </c>
    </row>
    <row r="412" spans="7:14" x14ac:dyDescent="0.25">
      <c r="G412" s="2">
        <v>409</v>
      </c>
      <c r="H412" s="2">
        <f t="shared" si="43"/>
        <v>-983.29853045756147</v>
      </c>
      <c r="I412" s="2">
        <f t="shared" si="44"/>
        <v>983.29853045756147</v>
      </c>
      <c r="J412" s="2">
        <f t="shared" si="45"/>
        <v>818</v>
      </c>
      <c r="K412" s="11">
        <f t="shared" si="46"/>
        <v>1966.5970609151229</v>
      </c>
      <c r="L412" s="2">
        <f t="shared" si="47"/>
        <v>182</v>
      </c>
      <c r="M412" s="2">
        <f t="shared" si="48"/>
        <v>3932.4495477513046</v>
      </c>
      <c r="N412" s="2">
        <f t="shared" si="49"/>
        <v>1208763.489131802</v>
      </c>
    </row>
    <row r="413" spans="7:14" x14ac:dyDescent="0.25">
      <c r="G413" s="2">
        <v>410</v>
      </c>
      <c r="H413" s="2">
        <f t="shared" si="43"/>
        <v>-983.66661018863499</v>
      </c>
      <c r="I413" s="2">
        <f t="shared" si="44"/>
        <v>983.66661018863499</v>
      </c>
      <c r="J413" s="2">
        <f t="shared" si="45"/>
        <v>820</v>
      </c>
      <c r="K413" s="11">
        <f t="shared" si="46"/>
        <v>1967.33322037727</v>
      </c>
      <c r="L413" s="2">
        <f t="shared" si="47"/>
        <v>180</v>
      </c>
      <c r="M413" s="2">
        <f t="shared" si="48"/>
        <v>3933.9302812923929</v>
      </c>
      <c r="N413" s="2">
        <f t="shared" si="49"/>
        <v>1212697.4194130944</v>
      </c>
    </row>
    <row r="414" spans="7:14" x14ac:dyDescent="0.25">
      <c r="G414" s="2">
        <v>411</v>
      </c>
      <c r="H414" s="2">
        <f t="shared" si="43"/>
        <v>-984.03048733258265</v>
      </c>
      <c r="I414" s="2">
        <f t="shared" si="44"/>
        <v>984.03048733258265</v>
      </c>
      <c r="J414" s="2">
        <f t="shared" si="45"/>
        <v>822</v>
      </c>
      <c r="K414" s="11">
        <f t="shared" si="46"/>
        <v>1968.0609746651653</v>
      </c>
      <c r="L414" s="2">
        <f t="shared" si="47"/>
        <v>178</v>
      </c>
      <c r="M414" s="2">
        <f t="shared" si="48"/>
        <v>3935.3941950424351</v>
      </c>
      <c r="N414" s="2">
        <f t="shared" si="49"/>
        <v>1216632.813608137</v>
      </c>
    </row>
    <row r="415" spans="7:14" x14ac:dyDescent="0.25">
      <c r="G415" s="2">
        <v>412</v>
      </c>
      <c r="H415" s="2">
        <f t="shared" si="43"/>
        <v>-984.3901665498289</v>
      </c>
      <c r="I415" s="2">
        <f t="shared" si="44"/>
        <v>984.3901665498289</v>
      </c>
      <c r="J415" s="2">
        <f t="shared" si="45"/>
        <v>824</v>
      </c>
      <c r="K415" s="11">
        <f t="shared" si="46"/>
        <v>1968.7803330996578</v>
      </c>
      <c r="L415" s="2">
        <f t="shared" si="47"/>
        <v>176</v>
      </c>
      <c r="M415" s="2">
        <f t="shared" si="48"/>
        <v>3936.8413077648229</v>
      </c>
      <c r="N415" s="2">
        <f t="shared" si="49"/>
        <v>1220569.6549159018</v>
      </c>
    </row>
    <row r="416" spans="7:14" x14ac:dyDescent="0.25">
      <c r="G416" s="2">
        <v>413</v>
      </c>
      <c r="H416" s="2">
        <f t="shared" si="43"/>
        <v>-984.74565244026337</v>
      </c>
      <c r="I416" s="2">
        <f t="shared" si="44"/>
        <v>984.74565244026337</v>
      </c>
      <c r="J416" s="2">
        <f t="shared" si="45"/>
        <v>826</v>
      </c>
      <c r="K416" s="11">
        <f t="shared" si="46"/>
        <v>1969.4913048805267</v>
      </c>
      <c r="L416" s="2">
        <f t="shared" si="47"/>
        <v>174</v>
      </c>
      <c r="M416" s="2">
        <f t="shared" si="48"/>
        <v>3938.2716379801846</v>
      </c>
      <c r="N416" s="2">
        <f t="shared" si="49"/>
        <v>1224507.926553882</v>
      </c>
    </row>
    <row r="417" spans="7:14" x14ac:dyDescent="0.25">
      <c r="G417" s="2">
        <v>414</v>
      </c>
      <c r="H417" s="2">
        <f t="shared" si="43"/>
        <v>-985.0969495435462</v>
      </c>
      <c r="I417" s="2">
        <f t="shared" si="44"/>
        <v>985.0969495435462</v>
      </c>
      <c r="J417" s="2">
        <f t="shared" si="45"/>
        <v>828</v>
      </c>
      <c r="K417" s="11">
        <f t="shared" si="46"/>
        <v>1970.1938990870924</v>
      </c>
      <c r="L417" s="2">
        <f t="shared" si="47"/>
        <v>172</v>
      </c>
      <c r="M417" s="2">
        <f t="shared" si="48"/>
        <v>3939.6852039676191</v>
      </c>
      <c r="N417" s="2">
        <f t="shared" si="49"/>
        <v>1228447.6117578496</v>
      </c>
    </row>
    <row r="418" spans="7:14" x14ac:dyDescent="0.25">
      <c r="G418" s="2">
        <v>415</v>
      </c>
      <c r="H418" s="2">
        <f t="shared" si="43"/>
        <v>-985.44406233941049</v>
      </c>
      <c r="I418" s="2">
        <f t="shared" si="44"/>
        <v>985.44406233941049</v>
      </c>
      <c r="J418" s="2">
        <f t="shared" si="45"/>
        <v>830</v>
      </c>
      <c r="K418" s="11">
        <f t="shared" si="46"/>
        <v>1970.888124678821</v>
      </c>
      <c r="L418" s="2">
        <f t="shared" si="47"/>
        <v>170</v>
      </c>
      <c r="M418" s="2">
        <f t="shared" si="48"/>
        <v>3941.0820237659136</v>
      </c>
      <c r="N418" s="2">
        <f t="shared" si="49"/>
        <v>1232388.6937816155</v>
      </c>
    </row>
    <row r="419" spans="7:14" x14ac:dyDescent="0.25">
      <c r="G419" s="2">
        <v>416</v>
      </c>
      <c r="H419" s="2">
        <f t="shared" si="43"/>
        <v>-985.78699524795923</v>
      </c>
      <c r="I419" s="2">
        <f t="shared" si="44"/>
        <v>985.78699524795923</v>
      </c>
      <c r="J419" s="2">
        <f t="shared" si="45"/>
        <v>832</v>
      </c>
      <c r="K419" s="11">
        <f t="shared" si="46"/>
        <v>1971.5739904959185</v>
      </c>
      <c r="L419" s="2">
        <f t="shared" si="47"/>
        <v>168</v>
      </c>
      <c r="M419" s="2">
        <f t="shared" si="48"/>
        <v>3942.4621151747397</v>
      </c>
      <c r="N419" s="2">
        <f t="shared" si="49"/>
        <v>1236331.1558967901</v>
      </c>
    </row>
    <row r="420" spans="7:14" x14ac:dyDescent="0.25">
      <c r="G420" s="2">
        <v>417</v>
      </c>
      <c r="H420" s="2">
        <f t="shared" si="43"/>
        <v>-986.12575262995745</v>
      </c>
      <c r="I420" s="2">
        <f t="shared" si="44"/>
        <v>986.12575262995745</v>
      </c>
      <c r="J420" s="2">
        <f t="shared" si="45"/>
        <v>834</v>
      </c>
      <c r="K420" s="11">
        <f t="shared" si="46"/>
        <v>1972.2515052599149</v>
      </c>
      <c r="L420" s="2">
        <f t="shared" si="47"/>
        <v>166</v>
      </c>
      <c r="M420" s="2">
        <f t="shared" si="48"/>
        <v>3943.8254957558333</v>
      </c>
      <c r="N420" s="2">
        <f t="shared" si="49"/>
        <v>1240274.9813925459</v>
      </c>
    </row>
    <row r="421" spans="7:14" x14ac:dyDescent="0.25">
      <c r="G421" s="2">
        <v>418</v>
      </c>
      <c r="H421" s="2">
        <f t="shared" si="43"/>
        <v>-986.46033878712024</v>
      </c>
      <c r="I421" s="2">
        <f t="shared" si="44"/>
        <v>986.46033878712024</v>
      </c>
      <c r="J421" s="2">
        <f t="shared" si="45"/>
        <v>836</v>
      </c>
      <c r="K421" s="11">
        <f t="shared" si="46"/>
        <v>1972.9206775742405</v>
      </c>
      <c r="L421" s="2">
        <f t="shared" si="47"/>
        <v>164</v>
      </c>
      <c r="M421" s="2">
        <f t="shared" si="48"/>
        <v>3945.1721828341551</v>
      </c>
      <c r="N421" s="2">
        <f t="shared" si="49"/>
        <v>1244220.1535753801</v>
      </c>
    </row>
    <row r="422" spans="7:14" x14ac:dyDescent="0.25">
      <c r="G422" s="2">
        <v>419</v>
      </c>
      <c r="H422" s="2">
        <f t="shared" si="43"/>
        <v>-986.79075796239601</v>
      </c>
      <c r="I422" s="2">
        <f t="shared" si="44"/>
        <v>986.79075796239601</v>
      </c>
      <c r="J422" s="2">
        <f t="shared" si="45"/>
        <v>838</v>
      </c>
      <c r="K422" s="11">
        <f t="shared" si="46"/>
        <v>1973.581515924792</v>
      </c>
      <c r="L422" s="2">
        <f t="shared" si="47"/>
        <v>162</v>
      </c>
      <c r="M422" s="2">
        <f t="shared" si="48"/>
        <v>3946.5021934990327</v>
      </c>
      <c r="N422" s="2">
        <f t="shared" si="49"/>
        <v>1248166.6557688792</v>
      </c>
    </row>
    <row r="423" spans="7:14" x14ac:dyDescent="0.25">
      <c r="G423" s="2">
        <v>420</v>
      </c>
      <c r="H423" s="2">
        <f t="shared" si="43"/>
        <v>-987.1170143402453</v>
      </c>
      <c r="I423" s="2">
        <f t="shared" si="44"/>
        <v>987.1170143402453</v>
      </c>
      <c r="J423" s="2">
        <f t="shared" si="45"/>
        <v>840</v>
      </c>
      <c r="K423" s="11">
        <f t="shared" si="46"/>
        <v>1974.2340286804906</v>
      </c>
      <c r="L423" s="2">
        <f t="shared" si="47"/>
        <v>160</v>
      </c>
      <c r="M423" s="2">
        <f t="shared" si="48"/>
        <v>3947.8155446052824</v>
      </c>
      <c r="N423" s="2">
        <f t="shared" si="49"/>
        <v>1252114.4713134845</v>
      </c>
    </row>
    <row r="424" spans="7:14" x14ac:dyDescent="0.25">
      <c r="G424" s="2">
        <v>421</v>
      </c>
      <c r="H424" s="2">
        <f t="shared" si="43"/>
        <v>-987.43911204691506</v>
      </c>
      <c r="I424" s="2">
        <f t="shared" si="44"/>
        <v>987.43911204691506</v>
      </c>
      <c r="J424" s="2">
        <f t="shared" si="45"/>
        <v>842</v>
      </c>
      <c r="K424" s="11">
        <f t="shared" si="46"/>
        <v>1974.8782240938301</v>
      </c>
      <c r="L424" s="2">
        <f t="shared" si="47"/>
        <v>158</v>
      </c>
      <c r="M424" s="2">
        <f t="shared" si="48"/>
        <v>3949.112252774321</v>
      </c>
      <c r="N424" s="2">
        <f t="shared" si="49"/>
        <v>1256063.5835662589</v>
      </c>
    </row>
    <row r="425" spans="7:14" x14ac:dyDescent="0.25">
      <c r="G425" s="2">
        <v>422</v>
      </c>
      <c r="H425" s="2">
        <f t="shared" si="43"/>
        <v>-987.75705515070865</v>
      </c>
      <c r="I425" s="2">
        <f t="shared" si="44"/>
        <v>987.75705515070865</v>
      </c>
      <c r="J425" s="2">
        <f t="shared" si="45"/>
        <v>844</v>
      </c>
      <c r="K425" s="11">
        <f t="shared" si="46"/>
        <v>1975.5141103014173</v>
      </c>
      <c r="L425" s="2">
        <f t="shared" si="47"/>
        <v>156</v>
      </c>
      <c r="M425" s="2">
        <f t="shared" si="48"/>
        <v>3950.3923343952474</v>
      </c>
      <c r="N425" s="2">
        <f t="shared" si="49"/>
        <v>1260013.9759006542</v>
      </c>
    </row>
    <row r="426" spans="7:14" x14ac:dyDescent="0.25">
      <c r="G426" s="2">
        <v>423</v>
      </c>
      <c r="H426" s="2">
        <f t="shared" si="43"/>
        <v>-988.07084766225137</v>
      </c>
      <c r="I426" s="2">
        <f t="shared" si="44"/>
        <v>988.07084766225137</v>
      </c>
      <c r="J426" s="2">
        <f t="shared" si="45"/>
        <v>846</v>
      </c>
      <c r="K426" s="11">
        <f t="shared" si="46"/>
        <v>1976.1416953245027</v>
      </c>
      <c r="L426" s="2">
        <f t="shared" si="47"/>
        <v>154</v>
      </c>
      <c r="M426" s="2">
        <f t="shared" si="48"/>
        <v>3951.65580562592</v>
      </c>
      <c r="N426" s="2">
        <f t="shared" si="49"/>
        <v>1263965.6317062802</v>
      </c>
    </row>
    <row r="427" spans="7:14" x14ac:dyDescent="0.25">
      <c r="G427" s="2">
        <v>424</v>
      </c>
      <c r="H427" s="2">
        <f t="shared" si="43"/>
        <v>-988.38049353475208</v>
      </c>
      <c r="I427" s="2">
        <f t="shared" si="44"/>
        <v>988.38049353475208</v>
      </c>
      <c r="J427" s="2">
        <f t="shared" si="45"/>
        <v>848</v>
      </c>
      <c r="K427" s="11">
        <f t="shared" si="46"/>
        <v>1976.7609870695042</v>
      </c>
      <c r="L427" s="2">
        <f t="shared" si="47"/>
        <v>152</v>
      </c>
      <c r="M427" s="2">
        <f t="shared" si="48"/>
        <v>3952.9026823940067</v>
      </c>
      <c r="N427" s="2">
        <f t="shared" si="49"/>
        <v>1267918.5343886742</v>
      </c>
    </row>
    <row r="428" spans="7:14" x14ac:dyDescent="0.25">
      <c r="G428" s="2">
        <v>425</v>
      </c>
      <c r="H428" s="2">
        <f t="shared" si="43"/>
        <v>-988.68599666425939</v>
      </c>
      <c r="I428" s="2">
        <f t="shared" si="44"/>
        <v>988.68599666425939</v>
      </c>
      <c r="J428" s="2">
        <f t="shared" si="45"/>
        <v>850</v>
      </c>
      <c r="K428" s="11">
        <f t="shared" si="46"/>
        <v>1977.3719933285188</v>
      </c>
      <c r="L428" s="2">
        <f t="shared" si="47"/>
        <v>150</v>
      </c>
      <c r="M428" s="2">
        <f t="shared" si="48"/>
        <v>3954.1329803980229</v>
      </c>
      <c r="N428" s="2">
        <f t="shared" si="49"/>
        <v>1271872.6673690723</v>
      </c>
    </row>
    <row r="429" spans="7:14" x14ac:dyDescent="0.25">
      <c r="G429" s="2">
        <v>426</v>
      </c>
      <c r="H429" s="2">
        <f t="shared" si="43"/>
        <v>-988.98736088991552</v>
      </c>
      <c r="I429" s="2">
        <f t="shared" si="44"/>
        <v>988.98736088991552</v>
      </c>
      <c r="J429" s="2">
        <f t="shared" si="45"/>
        <v>852</v>
      </c>
      <c r="K429" s="11">
        <f t="shared" si="46"/>
        <v>1977.974721779831</v>
      </c>
      <c r="L429" s="2">
        <f t="shared" si="47"/>
        <v>148</v>
      </c>
      <c r="M429" s="2">
        <f t="shared" si="48"/>
        <v>3955.3467151083496</v>
      </c>
      <c r="N429" s="2">
        <f t="shared" si="49"/>
        <v>1275828.0140841806</v>
      </c>
    </row>
    <row r="430" spans="7:14" x14ac:dyDescent="0.25">
      <c r="G430" s="2">
        <v>427</v>
      </c>
      <c r="H430" s="2">
        <f t="shared" si="43"/>
        <v>-989.28458999420388</v>
      </c>
      <c r="I430" s="2">
        <f t="shared" si="44"/>
        <v>989.28458999420388</v>
      </c>
      <c r="J430" s="2">
        <f t="shared" si="45"/>
        <v>854</v>
      </c>
      <c r="K430" s="11">
        <f t="shared" si="46"/>
        <v>1978.5691799884078</v>
      </c>
      <c r="L430" s="2">
        <f t="shared" si="47"/>
        <v>146</v>
      </c>
      <c r="M430" s="2">
        <f t="shared" si="48"/>
        <v>3956.5439017682388</v>
      </c>
      <c r="N430" s="2">
        <f t="shared" si="49"/>
        <v>1279784.5579859489</v>
      </c>
    </row>
    <row r="431" spans="7:14" x14ac:dyDescent="0.25">
      <c r="G431" s="2">
        <v>428</v>
      </c>
      <c r="H431" s="2">
        <f t="shared" si="43"/>
        <v>-989.57768770319387</v>
      </c>
      <c r="I431" s="2">
        <f t="shared" si="44"/>
        <v>989.57768770319387</v>
      </c>
      <c r="J431" s="2">
        <f t="shared" si="45"/>
        <v>856</v>
      </c>
      <c r="K431" s="11">
        <f t="shared" si="46"/>
        <v>1979.1553754063877</v>
      </c>
      <c r="L431" s="2">
        <f t="shared" si="47"/>
        <v>144</v>
      </c>
      <c r="M431" s="2">
        <f t="shared" si="48"/>
        <v>3957.7245553947955</v>
      </c>
      <c r="N431" s="2">
        <f t="shared" si="49"/>
        <v>1283742.2825413437</v>
      </c>
    </row>
    <row r="432" spans="7:14" x14ac:dyDescent="0.25">
      <c r="G432" s="2">
        <v>429</v>
      </c>
      <c r="H432" s="2">
        <f t="shared" si="43"/>
        <v>-989.86665768678154</v>
      </c>
      <c r="I432" s="2">
        <f t="shared" si="44"/>
        <v>989.86665768678154</v>
      </c>
      <c r="J432" s="2">
        <f t="shared" si="45"/>
        <v>858</v>
      </c>
      <c r="K432" s="11">
        <f t="shared" si="46"/>
        <v>1979.7333153735631</v>
      </c>
      <c r="L432" s="2">
        <f t="shared" si="47"/>
        <v>142</v>
      </c>
      <c r="M432" s="2">
        <f t="shared" si="48"/>
        <v>3958.8886907799506</v>
      </c>
      <c r="N432" s="2">
        <f t="shared" si="49"/>
        <v>1287701.1712321236</v>
      </c>
    </row>
    <row r="433" spans="7:14" x14ac:dyDescent="0.25">
      <c r="G433" s="2">
        <v>430</v>
      </c>
      <c r="H433" s="2">
        <f t="shared" si="43"/>
        <v>-990.15150355892501</v>
      </c>
      <c r="I433" s="2">
        <f t="shared" si="44"/>
        <v>990.15150355892501</v>
      </c>
      <c r="J433" s="2">
        <f t="shared" si="45"/>
        <v>860</v>
      </c>
      <c r="K433" s="11">
        <f t="shared" si="46"/>
        <v>1980.30300711785</v>
      </c>
      <c r="L433" s="2">
        <f t="shared" si="47"/>
        <v>140</v>
      </c>
      <c r="M433" s="2">
        <f t="shared" si="48"/>
        <v>3960.0363224914131</v>
      </c>
      <c r="N433" s="2">
        <f t="shared" si="49"/>
        <v>1291661.2075546151</v>
      </c>
    </row>
    <row r="434" spans="7:14" x14ac:dyDescent="0.25">
      <c r="G434" s="2">
        <v>431</v>
      </c>
      <c r="H434" s="2">
        <f t="shared" si="43"/>
        <v>-990.43222887787738</v>
      </c>
      <c r="I434" s="2">
        <f t="shared" si="44"/>
        <v>990.43222887787738</v>
      </c>
      <c r="J434" s="2">
        <f t="shared" si="45"/>
        <v>862</v>
      </c>
      <c r="K434" s="11">
        <f t="shared" si="46"/>
        <v>1980.8644577557548</v>
      </c>
      <c r="L434" s="2">
        <f t="shared" si="47"/>
        <v>138</v>
      </c>
      <c r="M434" s="2">
        <f t="shared" si="48"/>
        <v>3961.1674648736048</v>
      </c>
      <c r="N434" s="2">
        <f t="shared" si="49"/>
        <v>1295622.3750194886</v>
      </c>
    </row>
    <row r="435" spans="7:14" x14ac:dyDescent="0.25">
      <c r="G435" s="2">
        <v>432</v>
      </c>
      <c r="H435" s="2">
        <f t="shared" si="43"/>
        <v>-990.70883714641411</v>
      </c>
      <c r="I435" s="2">
        <f t="shared" si="44"/>
        <v>990.70883714641411</v>
      </c>
      <c r="J435" s="2">
        <f t="shared" si="45"/>
        <v>864</v>
      </c>
      <c r="K435" s="11">
        <f t="shared" si="46"/>
        <v>1981.4176742928282</v>
      </c>
      <c r="L435" s="2">
        <f t="shared" si="47"/>
        <v>136</v>
      </c>
      <c r="M435" s="2">
        <f t="shared" si="48"/>
        <v>3962.2821320485828</v>
      </c>
      <c r="N435" s="2">
        <f t="shared" si="49"/>
        <v>1299584.6571515372</v>
      </c>
    </row>
    <row r="436" spans="7:14" x14ac:dyDescent="0.25">
      <c r="G436" s="2">
        <v>433</v>
      </c>
      <c r="H436" s="2">
        <f t="shared" si="43"/>
        <v>-990.98133181205787</v>
      </c>
      <c r="I436" s="2">
        <f t="shared" si="44"/>
        <v>990.98133181205787</v>
      </c>
      <c r="J436" s="2">
        <f t="shared" si="45"/>
        <v>866</v>
      </c>
      <c r="K436" s="11">
        <f t="shared" si="46"/>
        <v>1981.9626636241157</v>
      </c>
      <c r="L436" s="2">
        <f t="shared" si="47"/>
        <v>134</v>
      </c>
      <c r="M436" s="2">
        <f t="shared" si="48"/>
        <v>3963.380337916944</v>
      </c>
      <c r="N436" s="2">
        <f t="shared" si="49"/>
        <v>1303548.0374894543</v>
      </c>
    </row>
    <row r="437" spans="7:14" x14ac:dyDescent="0.25">
      <c r="G437" s="2">
        <v>434</v>
      </c>
      <c r="H437" s="2">
        <f t="shared" si="43"/>
        <v>-991.2497162672986</v>
      </c>
      <c r="I437" s="2">
        <f t="shared" si="44"/>
        <v>991.2497162672986</v>
      </c>
      <c r="J437" s="2">
        <f t="shared" si="45"/>
        <v>868</v>
      </c>
      <c r="K437" s="11">
        <f t="shared" si="46"/>
        <v>1982.4994325345972</v>
      </c>
      <c r="L437" s="2">
        <f t="shared" si="47"/>
        <v>132</v>
      </c>
      <c r="M437" s="2">
        <f t="shared" si="48"/>
        <v>3964.4620961587129</v>
      </c>
      <c r="N437" s="2">
        <f t="shared" si="49"/>
        <v>1307512.4995856129</v>
      </c>
    </row>
    <row r="438" spans="7:14" x14ac:dyDescent="0.25">
      <c r="G438" s="2">
        <v>435</v>
      </c>
      <c r="H438" s="2">
        <f t="shared" si="43"/>
        <v>-991.51399384980948</v>
      </c>
      <c r="I438" s="2">
        <f t="shared" si="44"/>
        <v>991.51399384980948</v>
      </c>
      <c r="J438" s="2">
        <f t="shared" si="45"/>
        <v>870</v>
      </c>
      <c r="K438" s="11">
        <f t="shared" si="46"/>
        <v>1983.027987699619</v>
      </c>
      <c r="L438" s="2">
        <f t="shared" si="47"/>
        <v>130</v>
      </c>
      <c r="M438" s="2">
        <f t="shared" si="48"/>
        <v>3965.5274202342162</v>
      </c>
      <c r="N438" s="2">
        <f t="shared" si="49"/>
        <v>1311478.0270058471</v>
      </c>
    </row>
    <row r="439" spans="7:14" x14ac:dyDescent="0.25">
      <c r="G439" s="2">
        <v>436</v>
      </c>
      <c r="H439" s="2">
        <f t="shared" si="43"/>
        <v>-991.77416784265961</v>
      </c>
      <c r="I439" s="2">
        <f t="shared" si="44"/>
        <v>991.77416784265961</v>
      </c>
      <c r="J439" s="2">
        <f t="shared" si="45"/>
        <v>872</v>
      </c>
      <c r="K439" s="11">
        <f t="shared" si="46"/>
        <v>1983.5483356853192</v>
      </c>
      <c r="L439" s="2">
        <f t="shared" si="47"/>
        <v>128</v>
      </c>
      <c r="M439" s="2">
        <f t="shared" si="48"/>
        <v>3966.5763233849384</v>
      </c>
      <c r="N439" s="2">
        <f t="shared" si="49"/>
        <v>1315444.603329232</v>
      </c>
    </row>
    <row r="440" spans="7:14" x14ac:dyDescent="0.25">
      <c r="G440" s="2">
        <v>437</v>
      </c>
      <c r="H440" s="2">
        <f t="shared" si="43"/>
        <v>-992.03024147452277</v>
      </c>
      <c r="I440" s="2">
        <f t="shared" si="44"/>
        <v>992.03024147452277</v>
      </c>
      <c r="J440" s="2">
        <f t="shared" si="45"/>
        <v>874</v>
      </c>
      <c r="K440" s="11">
        <f t="shared" si="46"/>
        <v>1984.0604829490455</v>
      </c>
      <c r="L440" s="2">
        <f t="shared" si="47"/>
        <v>126</v>
      </c>
      <c r="M440" s="2">
        <f t="shared" si="48"/>
        <v>3967.608818634365</v>
      </c>
      <c r="N440" s="2">
        <f t="shared" si="49"/>
        <v>1319412.2121478664</v>
      </c>
    </row>
    <row r="441" spans="7:14" x14ac:dyDescent="0.25">
      <c r="G441" s="2">
        <v>438</v>
      </c>
      <c r="H441" s="2">
        <f t="shared" si="43"/>
        <v>-992.28221791988187</v>
      </c>
      <c r="I441" s="2">
        <f t="shared" si="44"/>
        <v>992.28221791988187</v>
      </c>
      <c r="J441" s="2">
        <f t="shared" si="45"/>
        <v>876</v>
      </c>
      <c r="K441" s="11">
        <f t="shared" si="46"/>
        <v>1984.5644358397637</v>
      </c>
      <c r="L441" s="2">
        <f t="shared" si="47"/>
        <v>124</v>
      </c>
      <c r="M441" s="2">
        <f t="shared" si="48"/>
        <v>3968.6249187888093</v>
      </c>
      <c r="N441" s="2">
        <f t="shared" si="49"/>
        <v>1323380.8370666553</v>
      </c>
    </row>
    <row r="442" spans="7:14" x14ac:dyDescent="0.25">
      <c r="G442" s="2">
        <v>439</v>
      </c>
      <c r="H442" s="2">
        <f t="shared" si="43"/>
        <v>-992.53010029923018</v>
      </c>
      <c r="I442" s="2">
        <f t="shared" si="44"/>
        <v>992.53010029923018</v>
      </c>
      <c r="J442" s="2">
        <f t="shared" si="45"/>
        <v>878</v>
      </c>
      <c r="K442" s="11">
        <f t="shared" si="46"/>
        <v>1985.0602005984604</v>
      </c>
      <c r="L442" s="2">
        <f t="shared" si="47"/>
        <v>122</v>
      </c>
      <c r="M442" s="2">
        <f t="shared" si="48"/>
        <v>3969.6246364382241</v>
      </c>
      <c r="N442" s="2">
        <f t="shared" si="49"/>
        <v>1327350.4617030935</v>
      </c>
    </row>
    <row r="443" spans="7:14" x14ac:dyDescent="0.25">
      <c r="G443" s="2">
        <v>440</v>
      </c>
      <c r="H443" s="2">
        <f t="shared" si="43"/>
        <v>-992.77389167926856</v>
      </c>
      <c r="I443" s="2">
        <f t="shared" si="44"/>
        <v>992.77389167926856</v>
      </c>
      <c r="J443" s="2">
        <f t="shared" si="45"/>
        <v>880</v>
      </c>
      <c r="K443" s="11">
        <f t="shared" si="46"/>
        <v>1985.5477833585371</v>
      </c>
      <c r="L443" s="2">
        <f t="shared" si="47"/>
        <v>120</v>
      </c>
      <c r="M443" s="2">
        <f t="shared" si="48"/>
        <v>3970.6079839569975</v>
      </c>
      <c r="N443" s="2">
        <f t="shared" si="49"/>
        <v>1331321.0696870505</v>
      </c>
    </row>
    <row r="444" spans="7:14" x14ac:dyDescent="0.25">
      <c r="G444" s="2">
        <v>441</v>
      </c>
      <c r="H444" s="2">
        <f t="shared" si="43"/>
        <v>-993.01359507309871</v>
      </c>
      <c r="I444" s="2">
        <f t="shared" si="44"/>
        <v>993.01359507309871</v>
      </c>
      <c r="J444" s="2">
        <f t="shared" si="45"/>
        <v>882</v>
      </c>
      <c r="K444" s="11">
        <f t="shared" si="46"/>
        <v>1986.0271901461974</v>
      </c>
      <c r="L444" s="2">
        <f t="shared" si="47"/>
        <v>118</v>
      </c>
      <c r="M444" s="2">
        <f t="shared" si="48"/>
        <v>3971.5749735047348</v>
      </c>
      <c r="N444" s="2">
        <f t="shared" si="49"/>
        <v>1335292.6446605553</v>
      </c>
    </row>
    <row r="445" spans="7:14" x14ac:dyDescent="0.25">
      <c r="G445" s="2">
        <v>442</v>
      </c>
      <c r="H445" s="2">
        <f t="shared" si="43"/>
        <v>-993.24921344041343</v>
      </c>
      <c r="I445" s="2">
        <f t="shared" si="44"/>
        <v>993.24921344041343</v>
      </c>
      <c r="J445" s="2">
        <f t="shared" si="45"/>
        <v>884</v>
      </c>
      <c r="K445" s="11">
        <f t="shared" si="46"/>
        <v>1986.4984268808269</v>
      </c>
      <c r="L445" s="2">
        <f t="shared" si="47"/>
        <v>116</v>
      </c>
      <c r="M445" s="2">
        <f t="shared" si="48"/>
        <v>3972.5256170270241</v>
      </c>
      <c r="N445" s="2">
        <f t="shared" si="49"/>
        <v>1339265.1702775822</v>
      </c>
    </row>
    <row r="446" spans="7:14" x14ac:dyDescent="0.25">
      <c r="G446" s="2">
        <v>443</v>
      </c>
      <c r="H446" s="2">
        <f t="shared" si="43"/>
        <v>-993.48074968768265</v>
      </c>
      <c r="I446" s="2">
        <f t="shared" si="44"/>
        <v>993.48074968768265</v>
      </c>
      <c r="J446" s="2">
        <f t="shared" si="45"/>
        <v>886</v>
      </c>
      <c r="K446" s="11">
        <f t="shared" si="46"/>
        <v>1986.9614993753653</v>
      </c>
      <c r="L446" s="2">
        <f t="shared" si="47"/>
        <v>114</v>
      </c>
      <c r="M446" s="2">
        <f t="shared" si="48"/>
        <v>3973.4599262561924</v>
      </c>
      <c r="N446" s="2">
        <f t="shared" si="49"/>
        <v>1343238.6302038385</v>
      </c>
    </row>
    <row r="447" spans="7:14" x14ac:dyDescent="0.25">
      <c r="G447" s="2">
        <v>444</v>
      </c>
      <c r="H447" s="2">
        <f t="shared" si="43"/>
        <v>-993.70820666833583</v>
      </c>
      <c r="I447" s="2">
        <f t="shared" si="44"/>
        <v>993.70820666833583</v>
      </c>
      <c r="J447" s="2">
        <f t="shared" si="45"/>
        <v>888</v>
      </c>
      <c r="K447" s="11">
        <f t="shared" si="46"/>
        <v>1987.4164133366717</v>
      </c>
      <c r="L447" s="2">
        <f t="shared" si="47"/>
        <v>112</v>
      </c>
      <c r="M447" s="2">
        <f t="shared" si="48"/>
        <v>3974.377912712037</v>
      </c>
      <c r="N447" s="2">
        <f t="shared" si="49"/>
        <v>1347213.0081165505</v>
      </c>
    </row>
    <row r="448" spans="7:14" x14ac:dyDescent="0.25">
      <c r="G448" s="2">
        <v>445</v>
      </c>
      <c r="H448" s="2">
        <f t="shared" si="43"/>
        <v>-993.93158718294092</v>
      </c>
      <c r="I448" s="2">
        <f t="shared" si="44"/>
        <v>993.93158718294092</v>
      </c>
      <c r="J448" s="2">
        <f t="shared" si="45"/>
        <v>890</v>
      </c>
      <c r="K448" s="11">
        <f t="shared" si="46"/>
        <v>1987.8631743658818</v>
      </c>
      <c r="L448" s="2">
        <f t="shared" si="47"/>
        <v>110</v>
      </c>
      <c r="M448" s="2">
        <f t="shared" si="48"/>
        <v>3975.2795877025537</v>
      </c>
      <c r="N448" s="2">
        <f t="shared" si="49"/>
        <v>1351188.2877042531</v>
      </c>
    </row>
    <row r="449" spans="7:14" x14ac:dyDescent="0.25">
      <c r="G449" s="2">
        <v>446</v>
      </c>
      <c r="H449" s="2">
        <f t="shared" si="43"/>
        <v>-994.15089397937982</v>
      </c>
      <c r="I449" s="2">
        <f t="shared" si="44"/>
        <v>994.15089397937982</v>
      </c>
      <c r="J449" s="2">
        <f t="shared" si="45"/>
        <v>892</v>
      </c>
      <c r="K449" s="11">
        <f t="shared" si="46"/>
        <v>1988.3017879587596</v>
      </c>
      <c r="L449" s="2">
        <f t="shared" si="47"/>
        <v>108</v>
      </c>
      <c r="M449" s="2">
        <f t="shared" si="48"/>
        <v>3976.1649623246412</v>
      </c>
      <c r="N449" s="2">
        <f t="shared" si="49"/>
        <v>1355164.4526665777</v>
      </c>
    </row>
    <row r="450" spans="7:14" x14ac:dyDescent="0.25">
      <c r="G450" s="2">
        <v>447</v>
      </c>
      <c r="H450" s="2">
        <f t="shared" si="43"/>
        <v>-994.36612975302012</v>
      </c>
      <c r="I450" s="2">
        <f t="shared" si="44"/>
        <v>994.36612975302012</v>
      </c>
      <c r="J450" s="2">
        <f t="shared" si="45"/>
        <v>894</v>
      </c>
      <c r="K450" s="11">
        <f t="shared" si="46"/>
        <v>1988.7322595060402</v>
      </c>
      <c r="L450" s="2">
        <f t="shared" si="47"/>
        <v>106</v>
      </c>
      <c r="M450" s="2">
        <f t="shared" si="48"/>
        <v>3977.0340474648001</v>
      </c>
      <c r="N450" s="2">
        <f t="shared" si="49"/>
        <v>1359141.4867140425</v>
      </c>
    </row>
    <row r="451" spans="7:14" x14ac:dyDescent="0.25">
      <c r="G451" s="2">
        <v>448</v>
      </c>
      <c r="H451" s="2">
        <f t="shared" ref="H451:H514" si="50">IF(G451&lt;POC_BOD,-1*$K451/2,IF(G451=POC_BOD,0,NA()))</f>
        <v>-994.57729714688344</v>
      </c>
      <c r="I451" s="2">
        <f t="shared" ref="I451:I514" si="51">IF(G451&lt;=POC_BOD,$K451/2,IF(G451=POC_BOD,0,NA()))</f>
        <v>994.57729714688344</v>
      </c>
      <c r="J451" s="2">
        <f t="shared" ref="J451:J514" si="52">IF(G451&lt;=POC_BOD,DN_KRUH/POC_BOD*G451,"")</f>
        <v>896</v>
      </c>
      <c r="K451" s="11">
        <f t="shared" ref="K451:K514" si="53">IF(G451&lt;POC_BOD,2*POWER(POWER(R_KRUH,2)-POWER(ABS(J451-DN_KRUH/2),2),0.5),IF(G451=POC_BOD,0,""))</f>
        <v>1989.1545942937669</v>
      </c>
      <c r="L451" s="2">
        <f t="shared" ref="L451:L514" si="54">IF(G451&lt;=POC_BOD,ABS(J451-DN_KRUH/2),IF(G451=POC_BOD,0,""))</f>
        <v>104</v>
      </c>
      <c r="M451" s="2">
        <f t="shared" si="48"/>
        <v>3977.8868537998069</v>
      </c>
      <c r="N451" s="2">
        <f t="shared" si="49"/>
        <v>1363119.3735678424</v>
      </c>
    </row>
    <row r="452" spans="7:14" x14ac:dyDescent="0.25">
      <c r="G452" s="2">
        <v>449</v>
      </c>
      <c r="H452" s="2">
        <f t="shared" si="50"/>
        <v>-994.78439875180993</v>
      </c>
      <c r="I452" s="2">
        <f t="shared" si="51"/>
        <v>994.78439875180993</v>
      </c>
      <c r="J452" s="2">
        <f t="shared" si="52"/>
        <v>898</v>
      </c>
      <c r="K452" s="11">
        <f t="shared" si="53"/>
        <v>1989.5687975036199</v>
      </c>
      <c r="L452" s="2">
        <f t="shared" si="54"/>
        <v>102</v>
      </c>
      <c r="M452" s="2">
        <f t="shared" ref="M452:M515" si="55">IF(G451&lt;=POC_BOD,(K451+K452)/2*(J452-J451),"")</f>
        <v>3978.7233917973867</v>
      </c>
      <c r="N452" s="2">
        <f t="shared" ref="N452:N515" si="56">IF(G451&lt;=POC_BOD,((K451+K452)/2*(J452-J451))+N451,"")</f>
        <v>1367098.0969596398</v>
      </c>
    </row>
    <row r="453" spans="7:14" x14ac:dyDescent="0.25">
      <c r="G453" s="2">
        <v>450</v>
      </c>
      <c r="H453" s="2">
        <f t="shared" si="50"/>
        <v>-994.98743710661995</v>
      </c>
      <c r="I453" s="2">
        <f t="shared" si="51"/>
        <v>994.98743710661995</v>
      </c>
      <c r="J453" s="2">
        <f t="shared" si="52"/>
        <v>900</v>
      </c>
      <c r="K453" s="11">
        <f t="shared" si="53"/>
        <v>1989.9748742132399</v>
      </c>
      <c r="L453" s="2">
        <f t="shared" si="54"/>
        <v>100</v>
      </c>
      <c r="M453" s="2">
        <f t="shared" si="55"/>
        <v>3979.5436717168595</v>
      </c>
      <c r="N453" s="2">
        <f t="shared" si="56"/>
        <v>1371077.6406313567</v>
      </c>
    </row>
    <row r="454" spans="7:14" x14ac:dyDescent="0.25">
      <c r="G454" s="2">
        <v>451</v>
      </c>
      <c r="H454" s="2">
        <f t="shared" si="50"/>
        <v>-995.18641469827151</v>
      </c>
      <c r="I454" s="2">
        <f t="shared" si="51"/>
        <v>995.18641469827151</v>
      </c>
      <c r="J454" s="2">
        <f t="shared" si="52"/>
        <v>902</v>
      </c>
      <c r="K454" s="11">
        <f t="shared" si="53"/>
        <v>1990.372829396543</v>
      </c>
      <c r="L454" s="2">
        <f t="shared" si="54"/>
        <v>98</v>
      </c>
      <c r="M454" s="2">
        <f t="shared" si="55"/>
        <v>3980.3477036097829</v>
      </c>
      <c r="N454" s="2">
        <f t="shared" si="56"/>
        <v>1375057.9883349666</v>
      </c>
    </row>
    <row r="455" spans="7:14" x14ac:dyDescent="0.25">
      <c r="G455" s="2">
        <v>452</v>
      </c>
      <c r="H455" s="2">
        <f t="shared" si="50"/>
        <v>-995.38133396201476</v>
      </c>
      <c r="I455" s="2">
        <f t="shared" si="51"/>
        <v>995.38133396201476</v>
      </c>
      <c r="J455" s="2">
        <f t="shared" si="52"/>
        <v>904</v>
      </c>
      <c r="K455" s="11">
        <f t="shared" si="53"/>
        <v>1990.7626679240295</v>
      </c>
      <c r="L455" s="2">
        <f t="shared" si="54"/>
        <v>96</v>
      </c>
      <c r="M455" s="2">
        <f t="shared" si="55"/>
        <v>3981.1354973205725</v>
      </c>
      <c r="N455" s="2">
        <f t="shared" si="56"/>
        <v>1379039.1238322873</v>
      </c>
    </row>
    <row r="456" spans="7:14" x14ac:dyDescent="0.25">
      <c r="G456" s="2">
        <v>453</v>
      </c>
      <c r="H456" s="2">
        <f t="shared" si="50"/>
        <v>-995.57219728154325</v>
      </c>
      <c r="I456" s="2">
        <f t="shared" si="51"/>
        <v>995.57219728154325</v>
      </c>
      <c r="J456" s="2">
        <f t="shared" si="52"/>
        <v>906</v>
      </c>
      <c r="K456" s="11">
        <f t="shared" si="53"/>
        <v>1991.1443945630865</v>
      </c>
      <c r="L456" s="2">
        <f t="shared" si="54"/>
        <v>94</v>
      </c>
      <c r="M456" s="2">
        <f t="shared" si="55"/>
        <v>3981.907062487116</v>
      </c>
      <c r="N456" s="2">
        <f t="shared" si="56"/>
        <v>1383021.0308947745</v>
      </c>
    </row>
    <row r="457" spans="7:14" x14ac:dyDescent="0.25">
      <c r="G457" s="2">
        <v>454</v>
      </c>
      <c r="H457" s="2">
        <f t="shared" si="50"/>
        <v>-995.75900698914097</v>
      </c>
      <c r="I457" s="2">
        <f t="shared" si="51"/>
        <v>995.75900698914097</v>
      </c>
      <c r="J457" s="2">
        <f t="shared" si="52"/>
        <v>908</v>
      </c>
      <c r="K457" s="11">
        <f t="shared" si="53"/>
        <v>1991.5180139782819</v>
      </c>
      <c r="L457" s="2">
        <f t="shared" si="54"/>
        <v>92</v>
      </c>
      <c r="M457" s="2">
        <f t="shared" si="55"/>
        <v>3982.6624085413687</v>
      </c>
      <c r="N457" s="2">
        <f t="shared" si="56"/>
        <v>1387003.6933033159</v>
      </c>
    </row>
    <row r="458" spans="7:14" x14ac:dyDescent="0.25">
      <c r="G458" s="2">
        <v>455</v>
      </c>
      <c r="H458" s="2">
        <f t="shared" si="50"/>
        <v>-995.941765365827</v>
      </c>
      <c r="I458" s="2">
        <f t="shared" si="51"/>
        <v>995.941765365827</v>
      </c>
      <c r="J458" s="2">
        <f t="shared" si="52"/>
        <v>910</v>
      </c>
      <c r="K458" s="11">
        <f t="shared" si="53"/>
        <v>1991.883530731654</v>
      </c>
      <c r="L458" s="2">
        <f t="shared" si="54"/>
        <v>90</v>
      </c>
      <c r="M458" s="2">
        <f t="shared" si="55"/>
        <v>3983.4015447099359</v>
      </c>
      <c r="N458" s="2">
        <f t="shared" si="56"/>
        <v>1390987.0948480258</v>
      </c>
    </row>
    <row r="459" spans="7:14" x14ac:dyDescent="0.25">
      <c r="G459" s="2">
        <v>456</v>
      </c>
      <c r="H459" s="2">
        <f t="shared" si="50"/>
        <v>-996.12047464149634</v>
      </c>
      <c r="I459" s="2">
        <f t="shared" si="51"/>
        <v>996.12047464149634</v>
      </c>
      <c r="J459" s="2">
        <f t="shared" si="52"/>
        <v>912</v>
      </c>
      <c r="K459" s="11">
        <f t="shared" si="53"/>
        <v>1992.2409492829927</v>
      </c>
      <c r="L459" s="2">
        <f t="shared" si="54"/>
        <v>88</v>
      </c>
      <c r="M459" s="2">
        <f t="shared" si="55"/>
        <v>3984.1244800146469</v>
      </c>
      <c r="N459" s="2">
        <f t="shared" si="56"/>
        <v>1394971.2193280405</v>
      </c>
    </row>
    <row r="460" spans="7:14" x14ac:dyDescent="0.25">
      <c r="G460" s="2">
        <v>457</v>
      </c>
      <c r="H460" s="2">
        <f t="shared" si="50"/>
        <v>-996.29513699505731</v>
      </c>
      <c r="I460" s="2">
        <f t="shared" si="51"/>
        <v>996.29513699505731</v>
      </c>
      <c r="J460" s="2">
        <f t="shared" si="52"/>
        <v>914</v>
      </c>
      <c r="K460" s="11">
        <f t="shared" si="53"/>
        <v>1992.5902739901146</v>
      </c>
      <c r="L460" s="2">
        <f t="shared" si="54"/>
        <v>86</v>
      </c>
      <c r="M460" s="2">
        <f t="shared" si="55"/>
        <v>3984.8312232731073</v>
      </c>
      <c r="N460" s="2">
        <f t="shared" si="56"/>
        <v>1398956.0505513137</v>
      </c>
    </row>
    <row r="461" spans="7:14" x14ac:dyDescent="0.25">
      <c r="G461" s="2">
        <v>458</v>
      </c>
      <c r="H461" s="2">
        <f t="shared" si="50"/>
        <v>-996.46575455456571</v>
      </c>
      <c r="I461" s="2">
        <f t="shared" si="51"/>
        <v>996.46575455456571</v>
      </c>
      <c r="J461" s="2">
        <f t="shared" si="52"/>
        <v>916</v>
      </c>
      <c r="K461" s="11">
        <f t="shared" si="53"/>
        <v>1992.9315091091314</v>
      </c>
      <c r="L461" s="2">
        <f t="shared" si="54"/>
        <v>84</v>
      </c>
      <c r="M461" s="2">
        <f t="shared" si="55"/>
        <v>3985.521783099246</v>
      </c>
      <c r="N461" s="2">
        <f t="shared" si="56"/>
        <v>1402941.572334413</v>
      </c>
    </row>
    <row r="462" spans="7:14" x14ac:dyDescent="0.25">
      <c r="G462" s="2">
        <v>459</v>
      </c>
      <c r="H462" s="2">
        <f t="shared" si="50"/>
        <v>-996.63232939735599</v>
      </c>
      <c r="I462" s="2">
        <f t="shared" si="51"/>
        <v>996.63232939735599</v>
      </c>
      <c r="J462" s="2">
        <f t="shared" si="52"/>
        <v>918</v>
      </c>
      <c r="K462" s="11">
        <f t="shared" si="53"/>
        <v>1993.264658794712</v>
      </c>
      <c r="L462" s="2">
        <f t="shared" si="54"/>
        <v>82</v>
      </c>
      <c r="M462" s="2">
        <f t="shared" si="55"/>
        <v>3986.1961679038432</v>
      </c>
      <c r="N462" s="2">
        <f t="shared" si="56"/>
        <v>1406927.7685023169</v>
      </c>
    </row>
    <row r="463" spans="7:14" x14ac:dyDescent="0.25">
      <c r="G463" s="2">
        <v>460</v>
      </c>
      <c r="H463" s="2">
        <f t="shared" si="50"/>
        <v>-996.794863550169</v>
      </c>
      <c r="I463" s="2">
        <f t="shared" si="51"/>
        <v>996.794863550169</v>
      </c>
      <c r="J463" s="2">
        <f t="shared" si="52"/>
        <v>920</v>
      </c>
      <c r="K463" s="11">
        <f t="shared" si="53"/>
        <v>1993.589727100338</v>
      </c>
      <c r="L463" s="2">
        <f t="shared" si="54"/>
        <v>80</v>
      </c>
      <c r="M463" s="2">
        <f t="shared" si="55"/>
        <v>3986.8543858950497</v>
      </c>
      <c r="N463" s="2">
        <f t="shared" si="56"/>
        <v>1410914.6228882119</v>
      </c>
    </row>
    <row r="464" spans="7:14" x14ac:dyDescent="0.25">
      <c r="G464" s="2">
        <v>461</v>
      </c>
      <c r="H464" s="2">
        <f t="shared" si="50"/>
        <v>-996.9533589892759</v>
      </c>
      <c r="I464" s="2">
        <f t="shared" si="51"/>
        <v>996.9533589892759</v>
      </c>
      <c r="J464" s="2">
        <f t="shared" si="52"/>
        <v>922</v>
      </c>
      <c r="K464" s="11">
        <f t="shared" si="53"/>
        <v>1993.9067179785518</v>
      </c>
      <c r="L464" s="2">
        <f t="shared" si="54"/>
        <v>78</v>
      </c>
      <c r="M464" s="2">
        <f t="shared" si="55"/>
        <v>3987.4964450788898</v>
      </c>
      <c r="N464" s="2">
        <f t="shared" si="56"/>
        <v>1414902.1193332907</v>
      </c>
    </row>
    <row r="465" spans="7:14" x14ac:dyDescent="0.25">
      <c r="G465" s="2">
        <v>462</v>
      </c>
      <c r="H465" s="2">
        <f t="shared" si="50"/>
        <v>-997.10781764059993</v>
      </c>
      <c r="I465" s="2">
        <f t="shared" si="51"/>
        <v>997.10781764059993</v>
      </c>
      <c r="J465" s="2">
        <f t="shared" si="52"/>
        <v>924</v>
      </c>
      <c r="K465" s="11">
        <f t="shared" si="53"/>
        <v>1994.2156352811999</v>
      </c>
      <c r="L465" s="2">
        <f t="shared" si="54"/>
        <v>76</v>
      </c>
      <c r="M465" s="2">
        <f t="shared" si="55"/>
        <v>3988.1223532597514</v>
      </c>
      <c r="N465" s="2">
        <f t="shared" si="56"/>
        <v>1418890.2416865504</v>
      </c>
    </row>
    <row r="466" spans="7:14" x14ac:dyDescent="0.25">
      <c r="G466" s="2">
        <v>463</v>
      </c>
      <c r="H466" s="2">
        <f t="shared" si="50"/>
        <v>-997.25824137983443</v>
      </c>
      <c r="I466" s="2">
        <f t="shared" si="51"/>
        <v>997.25824137983443</v>
      </c>
      <c r="J466" s="2">
        <f t="shared" si="52"/>
        <v>926</v>
      </c>
      <c r="K466" s="11">
        <f t="shared" si="53"/>
        <v>1994.5164827596689</v>
      </c>
      <c r="L466" s="2">
        <f t="shared" si="54"/>
        <v>74</v>
      </c>
      <c r="M466" s="2">
        <f t="shared" si="55"/>
        <v>3988.732118040869</v>
      </c>
      <c r="N466" s="2">
        <f t="shared" si="56"/>
        <v>1422878.9738045912</v>
      </c>
    </row>
    <row r="467" spans="7:14" x14ac:dyDescent="0.25">
      <c r="G467" s="2">
        <v>464</v>
      </c>
      <c r="H467" s="2">
        <f t="shared" si="50"/>
        <v>-997.40463203255683</v>
      </c>
      <c r="I467" s="2">
        <f t="shared" si="51"/>
        <v>997.40463203255683</v>
      </c>
      <c r="J467" s="2">
        <f t="shared" si="52"/>
        <v>928</v>
      </c>
      <c r="K467" s="11">
        <f t="shared" si="53"/>
        <v>1994.8092640651137</v>
      </c>
      <c r="L467" s="2">
        <f t="shared" si="54"/>
        <v>72</v>
      </c>
      <c r="M467" s="2">
        <f t="shared" si="55"/>
        <v>3989.3257468247825</v>
      </c>
      <c r="N467" s="2">
        <f t="shared" si="56"/>
        <v>1426868.299551416</v>
      </c>
    </row>
    <row r="468" spans="7:14" x14ac:dyDescent="0.25">
      <c r="G468" s="2">
        <v>465</v>
      </c>
      <c r="H468" s="2">
        <f t="shared" si="50"/>
        <v>-997.54699137434125</v>
      </c>
      <c r="I468" s="2">
        <f t="shared" si="51"/>
        <v>997.54699137434125</v>
      </c>
      <c r="J468" s="2">
        <f t="shared" si="52"/>
        <v>930</v>
      </c>
      <c r="K468" s="11">
        <f t="shared" si="53"/>
        <v>1995.0939827486825</v>
      </c>
      <c r="L468" s="2">
        <f t="shared" si="54"/>
        <v>70</v>
      </c>
      <c r="M468" s="2">
        <f t="shared" si="55"/>
        <v>3989.9032468137962</v>
      </c>
      <c r="N468" s="2">
        <f t="shared" si="56"/>
        <v>1430858.2027982296</v>
      </c>
    </row>
    <row r="469" spans="7:14" x14ac:dyDescent="0.25">
      <c r="G469" s="2">
        <v>466</v>
      </c>
      <c r="H469" s="2">
        <f t="shared" si="50"/>
        <v>-997.68532113086644</v>
      </c>
      <c r="I469" s="2">
        <f t="shared" si="51"/>
        <v>997.68532113086644</v>
      </c>
      <c r="J469" s="2">
        <f t="shared" si="52"/>
        <v>932</v>
      </c>
      <c r="K469" s="11">
        <f t="shared" si="53"/>
        <v>1995.3706422617329</v>
      </c>
      <c r="L469" s="2">
        <f t="shared" si="54"/>
        <v>68</v>
      </c>
      <c r="M469" s="2">
        <f t="shared" si="55"/>
        <v>3990.4646250104151</v>
      </c>
      <c r="N469" s="2">
        <f t="shared" si="56"/>
        <v>1434848.6674232401</v>
      </c>
    </row>
    <row r="470" spans="7:14" x14ac:dyDescent="0.25">
      <c r="G470" s="2">
        <v>467</v>
      </c>
      <c r="H470" s="2">
        <f t="shared" si="50"/>
        <v>-997.81962297802102</v>
      </c>
      <c r="I470" s="2">
        <f t="shared" si="51"/>
        <v>997.81962297802102</v>
      </c>
      <c r="J470" s="2">
        <f t="shared" si="52"/>
        <v>934</v>
      </c>
      <c r="K470" s="11">
        <f t="shared" si="53"/>
        <v>1995.639245956042</v>
      </c>
      <c r="L470" s="2">
        <f t="shared" si="54"/>
        <v>66</v>
      </c>
      <c r="M470" s="2">
        <f t="shared" si="55"/>
        <v>3991.0098882177749</v>
      </c>
      <c r="N470" s="2">
        <f t="shared" si="56"/>
        <v>1438839.6773114579</v>
      </c>
    </row>
    <row r="471" spans="7:14" x14ac:dyDescent="0.25">
      <c r="G471" s="2">
        <v>468</v>
      </c>
      <c r="H471" s="2">
        <f t="shared" si="50"/>
        <v>-997.94989854200594</v>
      </c>
      <c r="I471" s="2">
        <f t="shared" si="51"/>
        <v>997.94989854200594</v>
      </c>
      <c r="J471" s="2">
        <f t="shared" si="52"/>
        <v>936</v>
      </c>
      <c r="K471" s="11">
        <f t="shared" si="53"/>
        <v>1995.8997970840119</v>
      </c>
      <c r="L471" s="2">
        <f t="shared" si="54"/>
        <v>64</v>
      </c>
      <c r="M471" s="2">
        <f t="shared" si="55"/>
        <v>3991.5390430400539</v>
      </c>
      <c r="N471" s="2">
        <f t="shared" si="56"/>
        <v>1442831.2163544979</v>
      </c>
    </row>
    <row r="472" spans="7:14" x14ac:dyDescent="0.25">
      <c r="G472" s="2">
        <v>469</v>
      </c>
      <c r="H472" s="2">
        <f t="shared" si="50"/>
        <v>-998.07614939943335</v>
      </c>
      <c r="I472" s="2">
        <f t="shared" si="51"/>
        <v>998.07614939943335</v>
      </c>
      <c r="J472" s="2">
        <f t="shared" si="52"/>
        <v>938</v>
      </c>
      <c r="K472" s="11">
        <f t="shared" si="53"/>
        <v>1996.1522987988667</v>
      </c>
      <c r="L472" s="2">
        <f t="shared" si="54"/>
        <v>62</v>
      </c>
      <c r="M472" s="2">
        <f t="shared" si="55"/>
        <v>3992.0520958828783</v>
      </c>
      <c r="N472" s="2">
        <f t="shared" si="56"/>
        <v>1446823.2684503808</v>
      </c>
    </row>
    <row r="473" spans="7:14" x14ac:dyDescent="0.25">
      <c r="G473" s="2">
        <v>470</v>
      </c>
      <c r="H473" s="2">
        <f t="shared" si="50"/>
        <v>-998.19837707742238</v>
      </c>
      <c r="I473" s="2">
        <f t="shared" si="51"/>
        <v>998.19837707742238</v>
      </c>
      <c r="J473" s="2">
        <f t="shared" si="52"/>
        <v>940</v>
      </c>
      <c r="K473" s="11">
        <f t="shared" si="53"/>
        <v>1996.3967541548448</v>
      </c>
      <c r="L473" s="2">
        <f t="shared" si="54"/>
        <v>60</v>
      </c>
      <c r="M473" s="2">
        <f t="shared" si="55"/>
        <v>3992.5490529537115</v>
      </c>
      <c r="N473" s="2">
        <f t="shared" si="56"/>
        <v>1450815.8175033345</v>
      </c>
    </row>
    <row r="474" spans="7:14" x14ac:dyDescent="0.25">
      <c r="G474" s="2">
        <v>471</v>
      </c>
      <c r="H474" s="2">
        <f t="shared" si="50"/>
        <v>-998.3165830536924</v>
      </c>
      <c r="I474" s="2">
        <f t="shared" si="51"/>
        <v>998.3165830536924</v>
      </c>
      <c r="J474" s="2">
        <f t="shared" si="52"/>
        <v>942</v>
      </c>
      <c r="K474" s="11">
        <f t="shared" si="53"/>
        <v>1996.6331661073848</v>
      </c>
      <c r="L474" s="2">
        <f t="shared" si="54"/>
        <v>58</v>
      </c>
      <c r="M474" s="2">
        <f t="shared" si="55"/>
        <v>3993.0299202622296</v>
      </c>
      <c r="N474" s="2">
        <f t="shared" si="56"/>
        <v>1454808.8474235968</v>
      </c>
    </row>
    <row r="475" spans="7:14" x14ac:dyDescent="0.25">
      <c r="G475" s="2">
        <v>472</v>
      </c>
      <c r="H475" s="2">
        <f t="shared" si="50"/>
        <v>-998.43076875665247</v>
      </c>
      <c r="I475" s="2">
        <f t="shared" si="51"/>
        <v>998.43076875665247</v>
      </c>
      <c r="J475" s="2">
        <f t="shared" si="52"/>
        <v>944</v>
      </c>
      <c r="K475" s="11">
        <f t="shared" si="53"/>
        <v>1996.8615375133049</v>
      </c>
      <c r="L475" s="2">
        <f t="shared" si="54"/>
        <v>56</v>
      </c>
      <c r="M475" s="2">
        <f t="shared" si="55"/>
        <v>3993.4947036206895</v>
      </c>
      <c r="N475" s="2">
        <f t="shared" si="56"/>
        <v>1458802.3421272174</v>
      </c>
    </row>
    <row r="476" spans="7:14" x14ac:dyDescent="0.25">
      <c r="G476" s="2">
        <v>473</v>
      </c>
      <c r="H476" s="2">
        <f t="shared" si="50"/>
        <v>-998.54093556548798</v>
      </c>
      <c r="I476" s="2">
        <f t="shared" si="51"/>
        <v>998.54093556548798</v>
      </c>
      <c r="J476" s="2">
        <f t="shared" si="52"/>
        <v>946</v>
      </c>
      <c r="K476" s="11">
        <f t="shared" si="53"/>
        <v>1997.081871130976</v>
      </c>
      <c r="L476" s="2">
        <f t="shared" si="54"/>
        <v>54</v>
      </c>
      <c r="M476" s="2">
        <f t="shared" si="55"/>
        <v>3993.9434086442807</v>
      </c>
      <c r="N476" s="2">
        <f t="shared" si="56"/>
        <v>1462796.2855358617</v>
      </c>
    </row>
    <row r="477" spans="7:14" x14ac:dyDescent="0.25">
      <c r="G477" s="2">
        <v>474</v>
      </c>
      <c r="H477" s="2">
        <f t="shared" si="50"/>
        <v>-998.64708481024468</v>
      </c>
      <c r="I477" s="2">
        <f t="shared" si="51"/>
        <v>998.64708481024468</v>
      </c>
      <c r="J477" s="2">
        <f t="shared" si="52"/>
        <v>948</v>
      </c>
      <c r="K477" s="11">
        <f t="shared" si="53"/>
        <v>1997.2941696204894</v>
      </c>
      <c r="L477" s="2">
        <f t="shared" si="54"/>
        <v>52</v>
      </c>
      <c r="M477" s="2">
        <f t="shared" si="55"/>
        <v>3994.3760407514656</v>
      </c>
      <c r="N477" s="2">
        <f t="shared" si="56"/>
        <v>1466790.6615766133</v>
      </c>
    </row>
    <row r="478" spans="7:14" x14ac:dyDescent="0.25">
      <c r="G478" s="2">
        <v>475</v>
      </c>
      <c r="H478" s="2">
        <f t="shared" si="50"/>
        <v>-998.749217771909</v>
      </c>
      <c r="I478" s="2">
        <f t="shared" si="51"/>
        <v>998.749217771909</v>
      </c>
      <c r="J478" s="2">
        <f t="shared" si="52"/>
        <v>950</v>
      </c>
      <c r="K478" s="11">
        <f t="shared" si="53"/>
        <v>1997.498435543818</v>
      </c>
      <c r="L478" s="2">
        <f t="shared" si="54"/>
        <v>50</v>
      </c>
      <c r="M478" s="2">
        <f t="shared" si="55"/>
        <v>3994.7926051643071</v>
      </c>
      <c r="N478" s="2">
        <f t="shared" si="56"/>
        <v>1470785.4541817775</v>
      </c>
    </row>
    <row r="479" spans="7:14" x14ac:dyDescent="0.25">
      <c r="G479" s="2">
        <v>476</v>
      </c>
      <c r="H479" s="2">
        <f t="shared" si="50"/>
        <v>-998.84733568248555</v>
      </c>
      <c r="I479" s="2">
        <f t="shared" si="51"/>
        <v>998.84733568248555</v>
      </c>
      <c r="J479" s="2">
        <f t="shared" si="52"/>
        <v>952</v>
      </c>
      <c r="K479" s="11">
        <f t="shared" si="53"/>
        <v>1997.6946713649711</v>
      </c>
      <c r="L479" s="2">
        <f t="shared" si="54"/>
        <v>48</v>
      </c>
      <c r="M479" s="2">
        <f t="shared" si="55"/>
        <v>3995.1931069087891</v>
      </c>
      <c r="N479" s="2">
        <f t="shared" si="56"/>
        <v>1474780.6472886864</v>
      </c>
    </row>
    <row r="480" spans="7:14" x14ac:dyDescent="0.25">
      <c r="G480" s="2">
        <v>477</v>
      </c>
      <c r="H480" s="2">
        <f t="shared" si="50"/>
        <v>-998.9414397250722</v>
      </c>
      <c r="I480" s="2">
        <f t="shared" si="51"/>
        <v>998.9414397250722</v>
      </c>
      <c r="J480" s="2">
        <f t="shared" si="52"/>
        <v>954</v>
      </c>
      <c r="K480" s="11">
        <f t="shared" si="53"/>
        <v>1997.8828794501444</v>
      </c>
      <c r="L480" s="2">
        <f t="shared" si="54"/>
        <v>46</v>
      </c>
      <c r="M480" s="2">
        <f t="shared" si="55"/>
        <v>3995.5775508151155</v>
      </c>
      <c r="N480" s="2">
        <f t="shared" si="56"/>
        <v>1478776.2248395015</v>
      </c>
    </row>
    <row r="481" spans="7:14" x14ac:dyDescent="0.25">
      <c r="G481" s="2">
        <v>478</v>
      </c>
      <c r="H481" s="2">
        <f t="shared" si="50"/>
        <v>-999.03153103393083</v>
      </c>
      <c r="I481" s="2">
        <f t="shared" si="51"/>
        <v>999.03153103393083</v>
      </c>
      <c r="J481" s="2">
        <f t="shared" si="52"/>
        <v>956</v>
      </c>
      <c r="K481" s="11">
        <f t="shared" si="53"/>
        <v>1998.0630620678617</v>
      </c>
      <c r="L481" s="2">
        <f t="shared" si="54"/>
        <v>44</v>
      </c>
      <c r="M481" s="2">
        <f t="shared" si="55"/>
        <v>3995.9459415180063</v>
      </c>
      <c r="N481" s="2">
        <f t="shared" si="56"/>
        <v>1482772.1707810196</v>
      </c>
    </row>
    <row r="482" spans="7:14" x14ac:dyDescent="0.25">
      <c r="G482" s="2">
        <v>479</v>
      </c>
      <c r="H482" s="2">
        <f t="shared" si="50"/>
        <v>-999.11761069455679</v>
      </c>
      <c r="I482" s="2">
        <f t="shared" si="51"/>
        <v>999.11761069455679</v>
      </c>
      <c r="J482" s="2">
        <f t="shared" si="52"/>
        <v>958</v>
      </c>
      <c r="K482" s="11">
        <f t="shared" si="53"/>
        <v>1998.2352213891136</v>
      </c>
      <c r="L482" s="2">
        <f t="shared" si="54"/>
        <v>42</v>
      </c>
      <c r="M482" s="2">
        <f t="shared" si="55"/>
        <v>3996.2982834569752</v>
      </c>
      <c r="N482" s="2">
        <f t="shared" si="56"/>
        <v>1486768.4690644767</v>
      </c>
    </row>
    <row r="483" spans="7:14" x14ac:dyDescent="0.25">
      <c r="G483" s="2">
        <v>480</v>
      </c>
      <c r="H483" s="2">
        <f t="shared" si="50"/>
        <v>-999.19967974374367</v>
      </c>
      <c r="I483" s="2">
        <f t="shared" si="51"/>
        <v>999.19967974374367</v>
      </c>
      <c r="J483" s="2">
        <f t="shared" si="52"/>
        <v>960</v>
      </c>
      <c r="K483" s="11">
        <f t="shared" si="53"/>
        <v>1998.3993594874873</v>
      </c>
      <c r="L483" s="2">
        <f t="shared" si="54"/>
        <v>40</v>
      </c>
      <c r="M483" s="2">
        <f t="shared" si="55"/>
        <v>3996.6345808766009</v>
      </c>
      <c r="N483" s="2">
        <f t="shared" si="56"/>
        <v>1490765.1036453533</v>
      </c>
    </row>
    <row r="484" spans="7:14" x14ac:dyDescent="0.25">
      <c r="G484" s="2">
        <v>481</v>
      </c>
      <c r="H484" s="2">
        <f t="shared" si="50"/>
        <v>-999.27773916964645</v>
      </c>
      <c r="I484" s="2">
        <f t="shared" si="51"/>
        <v>999.27773916964645</v>
      </c>
      <c r="J484" s="2">
        <f t="shared" si="52"/>
        <v>962</v>
      </c>
      <c r="K484" s="11">
        <f t="shared" si="53"/>
        <v>1998.5554783392929</v>
      </c>
      <c r="L484" s="2">
        <f t="shared" si="54"/>
        <v>38</v>
      </c>
      <c r="M484" s="2">
        <f t="shared" si="55"/>
        <v>3996.95483782678</v>
      </c>
      <c r="N484" s="2">
        <f t="shared" si="56"/>
        <v>1494762.0584831801</v>
      </c>
    </row>
    <row r="485" spans="7:14" x14ac:dyDescent="0.25">
      <c r="G485" s="2">
        <v>482</v>
      </c>
      <c r="H485" s="2">
        <f t="shared" si="50"/>
        <v>-999.3517899118408</v>
      </c>
      <c r="I485" s="2">
        <f t="shared" si="51"/>
        <v>999.3517899118408</v>
      </c>
      <c r="J485" s="2">
        <f t="shared" si="52"/>
        <v>964</v>
      </c>
      <c r="K485" s="11">
        <f t="shared" si="53"/>
        <v>1998.7035798236816</v>
      </c>
      <c r="L485" s="2">
        <f t="shared" si="54"/>
        <v>36</v>
      </c>
      <c r="M485" s="2">
        <f t="shared" si="55"/>
        <v>3997.2590581629747</v>
      </c>
      <c r="N485" s="2">
        <f t="shared" si="56"/>
        <v>1498759.3175413432</v>
      </c>
    </row>
    <row r="486" spans="7:14" x14ac:dyDescent="0.25">
      <c r="G486" s="2">
        <v>483</v>
      </c>
      <c r="H486" s="2">
        <f t="shared" si="50"/>
        <v>-999.42183286137993</v>
      </c>
      <c r="I486" s="2">
        <f t="shared" si="51"/>
        <v>999.42183286137993</v>
      </c>
      <c r="J486" s="2">
        <f t="shared" si="52"/>
        <v>966</v>
      </c>
      <c r="K486" s="11">
        <f t="shared" si="53"/>
        <v>1998.8436657227599</v>
      </c>
      <c r="L486" s="2">
        <f t="shared" si="54"/>
        <v>34</v>
      </c>
      <c r="M486" s="2">
        <f t="shared" si="55"/>
        <v>3997.5472455464414</v>
      </c>
      <c r="N486" s="2">
        <f t="shared" si="56"/>
        <v>1502756.8647868896</v>
      </c>
    </row>
    <row r="487" spans="7:14" x14ac:dyDescent="0.25">
      <c r="G487" s="2">
        <v>484</v>
      </c>
      <c r="H487" s="2">
        <f t="shared" si="50"/>
        <v>-999.48786886084815</v>
      </c>
      <c r="I487" s="2">
        <f t="shared" si="51"/>
        <v>999.48786886084815</v>
      </c>
      <c r="J487" s="2">
        <f t="shared" si="52"/>
        <v>968</v>
      </c>
      <c r="K487" s="11">
        <f t="shared" si="53"/>
        <v>1998.9757377216963</v>
      </c>
      <c r="L487" s="2">
        <f t="shared" si="54"/>
        <v>32</v>
      </c>
      <c r="M487" s="2">
        <f t="shared" si="55"/>
        <v>3997.8194034444559</v>
      </c>
      <c r="N487" s="2">
        <f t="shared" si="56"/>
        <v>1506754.6841903341</v>
      </c>
    </row>
    <row r="488" spans="7:14" x14ac:dyDescent="0.25">
      <c r="G488" s="2">
        <v>485</v>
      </c>
      <c r="H488" s="2">
        <f t="shared" si="50"/>
        <v>-999.54989870441182</v>
      </c>
      <c r="I488" s="2">
        <f t="shared" si="51"/>
        <v>999.54989870441182</v>
      </c>
      <c r="J488" s="2">
        <f t="shared" si="52"/>
        <v>970</v>
      </c>
      <c r="K488" s="11">
        <f t="shared" si="53"/>
        <v>1999.0997974088236</v>
      </c>
      <c r="L488" s="2">
        <f t="shared" si="54"/>
        <v>30</v>
      </c>
      <c r="M488" s="2">
        <f t="shared" si="55"/>
        <v>3998.0755351305197</v>
      </c>
      <c r="N488" s="2">
        <f t="shared" si="56"/>
        <v>1510752.7597254645</v>
      </c>
    </row>
    <row r="489" spans="7:14" x14ac:dyDescent="0.25">
      <c r="G489" s="2">
        <v>486</v>
      </c>
      <c r="H489" s="2">
        <f t="shared" si="50"/>
        <v>-999.60792313786715</v>
      </c>
      <c r="I489" s="2">
        <f t="shared" si="51"/>
        <v>999.60792313786715</v>
      </c>
      <c r="J489" s="2">
        <f t="shared" si="52"/>
        <v>972</v>
      </c>
      <c r="K489" s="11">
        <f t="shared" si="53"/>
        <v>1999.2158462757343</v>
      </c>
      <c r="L489" s="2">
        <f t="shared" si="54"/>
        <v>28</v>
      </c>
      <c r="M489" s="2">
        <f t="shared" si="55"/>
        <v>3998.3156436845579</v>
      </c>
      <c r="N489" s="2">
        <f t="shared" si="56"/>
        <v>1514751.075369149</v>
      </c>
    </row>
    <row r="490" spans="7:14" x14ac:dyDescent="0.25">
      <c r="G490" s="2">
        <v>487</v>
      </c>
      <c r="H490" s="2">
        <f t="shared" si="50"/>
        <v>-999.6619428586846</v>
      </c>
      <c r="I490" s="2">
        <f t="shared" si="51"/>
        <v>999.6619428586846</v>
      </c>
      <c r="J490" s="2">
        <f t="shared" si="52"/>
        <v>974</v>
      </c>
      <c r="K490" s="11">
        <f t="shared" si="53"/>
        <v>1999.3238857173692</v>
      </c>
      <c r="L490" s="2">
        <f t="shared" si="54"/>
        <v>26</v>
      </c>
      <c r="M490" s="2">
        <f t="shared" si="55"/>
        <v>3998.5397319931035</v>
      </c>
      <c r="N490" s="2">
        <f t="shared" si="56"/>
        <v>1518749.6151011421</v>
      </c>
    </row>
    <row r="491" spans="7:14" x14ac:dyDescent="0.25">
      <c r="G491" s="2">
        <v>488</v>
      </c>
      <c r="H491" s="2">
        <f t="shared" si="50"/>
        <v>-999.71195851605171</v>
      </c>
      <c r="I491" s="2">
        <f t="shared" si="51"/>
        <v>999.71195851605171</v>
      </c>
      <c r="J491" s="2">
        <f t="shared" si="52"/>
        <v>976</v>
      </c>
      <c r="K491" s="11">
        <f t="shared" si="53"/>
        <v>1999.4239170321034</v>
      </c>
      <c r="L491" s="2">
        <f t="shared" si="54"/>
        <v>24</v>
      </c>
      <c r="M491" s="2">
        <f t="shared" si="55"/>
        <v>3998.7478027494726</v>
      </c>
      <c r="N491" s="2">
        <f t="shared" si="56"/>
        <v>1522748.3629038916</v>
      </c>
    </row>
    <row r="492" spans="7:14" x14ac:dyDescent="0.25">
      <c r="G492" s="2">
        <v>489</v>
      </c>
      <c r="H492" s="2">
        <f t="shared" si="50"/>
        <v>-999.75797071091165</v>
      </c>
      <c r="I492" s="2">
        <f t="shared" si="51"/>
        <v>999.75797071091165</v>
      </c>
      <c r="J492" s="2">
        <f t="shared" si="52"/>
        <v>978</v>
      </c>
      <c r="K492" s="11">
        <f t="shared" si="53"/>
        <v>1999.5159414218233</v>
      </c>
      <c r="L492" s="2">
        <f t="shared" si="54"/>
        <v>22</v>
      </c>
      <c r="M492" s="2">
        <f t="shared" si="55"/>
        <v>3998.9398584539267</v>
      </c>
      <c r="N492" s="2">
        <f t="shared" si="56"/>
        <v>1526747.3027623454</v>
      </c>
    </row>
    <row r="493" spans="7:14" x14ac:dyDescent="0.25">
      <c r="G493" s="2">
        <v>490</v>
      </c>
      <c r="H493" s="2">
        <f t="shared" si="50"/>
        <v>-999.79997999599902</v>
      </c>
      <c r="I493" s="2">
        <f t="shared" si="51"/>
        <v>999.79997999599902</v>
      </c>
      <c r="J493" s="2">
        <f t="shared" si="52"/>
        <v>980</v>
      </c>
      <c r="K493" s="11">
        <f t="shared" si="53"/>
        <v>1999.599959991998</v>
      </c>
      <c r="L493" s="2">
        <f t="shared" si="54"/>
        <v>20</v>
      </c>
      <c r="M493" s="2">
        <f t="shared" si="55"/>
        <v>3999.1159014138211</v>
      </c>
      <c r="N493" s="2">
        <f t="shared" si="56"/>
        <v>1530746.4186637593</v>
      </c>
    </row>
    <row r="494" spans="7:14" x14ac:dyDescent="0.25">
      <c r="G494" s="2">
        <v>491</v>
      </c>
      <c r="H494" s="2">
        <f t="shared" si="50"/>
        <v>-999.83798687587375</v>
      </c>
      <c r="I494" s="2">
        <f t="shared" si="51"/>
        <v>999.83798687587375</v>
      </c>
      <c r="J494" s="2">
        <f t="shared" si="52"/>
        <v>982</v>
      </c>
      <c r="K494" s="11">
        <f t="shared" si="53"/>
        <v>1999.6759737517475</v>
      </c>
      <c r="L494" s="2">
        <f t="shared" si="54"/>
        <v>18</v>
      </c>
      <c r="M494" s="2">
        <f t="shared" si="55"/>
        <v>3999.2759337437456</v>
      </c>
      <c r="N494" s="2">
        <f t="shared" si="56"/>
        <v>1534745.6945975029</v>
      </c>
    </row>
    <row r="495" spans="7:14" x14ac:dyDescent="0.25">
      <c r="G495" s="2">
        <v>492</v>
      </c>
      <c r="H495" s="2">
        <f t="shared" si="50"/>
        <v>-999.8719918069512</v>
      </c>
      <c r="I495" s="2">
        <f t="shared" si="51"/>
        <v>999.8719918069512</v>
      </c>
      <c r="J495" s="2">
        <f t="shared" si="52"/>
        <v>984</v>
      </c>
      <c r="K495" s="11">
        <f t="shared" si="53"/>
        <v>1999.7439836139024</v>
      </c>
      <c r="L495" s="2">
        <f t="shared" si="54"/>
        <v>16</v>
      </c>
      <c r="M495" s="2">
        <f t="shared" si="55"/>
        <v>3999.4199573656497</v>
      </c>
      <c r="N495" s="2">
        <f t="shared" si="56"/>
        <v>1538745.1145548685</v>
      </c>
    </row>
    <row r="496" spans="7:14" x14ac:dyDescent="0.25">
      <c r="G496" s="2">
        <v>493</v>
      </c>
      <c r="H496" s="2">
        <f t="shared" si="50"/>
        <v>-999.90199519752935</v>
      </c>
      <c r="I496" s="2">
        <f t="shared" si="51"/>
        <v>999.90199519752935</v>
      </c>
      <c r="J496" s="2">
        <f t="shared" si="52"/>
        <v>986</v>
      </c>
      <c r="K496" s="11">
        <f t="shared" si="53"/>
        <v>1999.8039903950587</v>
      </c>
      <c r="L496" s="2">
        <f t="shared" si="54"/>
        <v>14</v>
      </c>
      <c r="M496" s="2">
        <f t="shared" si="55"/>
        <v>3999.5479740089613</v>
      </c>
      <c r="N496" s="2">
        <f t="shared" si="56"/>
        <v>1542744.6625288776</v>
      </c>
    </row>
    <row r="497" spans="7:14" x14ac:dyDescent="0.25">
      <c r="G497" s="2">
        <v>494</v>
      </c>
      <c r="H497" s="2">
        <f t="shared" si="50"/>
        <v>-999.92799740781334</v>
      </c>
      <c r="I497" s="2">
        <f t="shared" si="51"/>
        <v>999.92799740781334</v>
      </c>
      <c r="J497" s="2">
        <f t="shared" si="52"/>
        <v>988</v>
      </c>
      <c r="K497" s="11">
        <f t="shared" si="53"/>
        <v>1999.8559948156267</v>
      </c>
      <c r="L497" s="2">
        <f t="shared" si="54"/>
        <v>12</v>
      </c>
      <c r="M497" s="2">
        <f t="shared" si="55"/>
        <v>3999.6599852106856</v>
      </c>
      <c r="N497" s="2">
        <f t="shared" si="56"/>
        <v>1546744.3225140884</v>
      </c>
    </row>
    <row r="498" spans="7:14" x14ac:dyDescent="0.25">
      <c r="G498" s="2">
        <v>495</v>
      </c>
      <c r="H498" s="2">
        <f t="shared" si="50"/>
        <v>-999.94999874993755</v>
      </c>
      <c r="I498" s="2">
        <f t="shared" si="51"/>
        <v>999.94999874993755</v>
      </c>
      <c r="J498" s="2">
        <f t="shared" si="52"/>
        <v>990</v>
      </c>
      <c r="K498" s="11">
        <f t="shared" si="53"/>
        <v>1999.8999974998751</v>
      </c>
      <c r="L498" s="2">
        <f t="shared" si="54"/>
        <v>10</v>
      </c>
      <c r="M498" s="2">
        <f t="shared" si="55"/>
        <v>3999.7559923155018</v>
      </c>
      <c r="N498" s="2">
        <f t="shared" si="56"/>
        <v>1550744.0785064038</v>
      </c>
    </row>
    <row r="499" spans="7:14" x14ac:dyDescent="0.25">
      <c r="G499" s="2">
        <v>496</v>
      </c>
      <c r="H499" s="2">
        <f t="shared" si="50"/>
        <v>-999.96799948798366</v>
      </c>
      <c r="I499" s="2">
        <f t="shared" si="51"/>
        <v>999.96799948798366</v>
      </c>
      <c r="J499" s="2">
        <f t="shared" si="52"/>
        <v>992</v>
      </c>
      <c r="K499" s="11">
        <f t="shared" si="53"/>
        <v>1999.9359989759673</v>
      </c>
      <c r="L499" s="2">
        <f t="shared" si="54"/>
        <v>8</v>
      </c>
      <c r="M499" s="2">
        <f t="shared" si="55"/>
        <v>3999.8359964758424</v>
      </c>
      <c r="N499" s="2">
        <f t="shared" si="56"/>
        <v>1554743.9145028796</v>
      </c>
    </row>
    <row r="500" spans="7:14" x14ac:dyDescent="0.25">
      <c r="G500" s="2">
        <v>497</v>
      </c>
      <c r="H500" s="2">
        <f t="shared" si="50"/>
        <v>-999.98199983799714</v>
      </c>
      <c r="I500" s="2">
        <f t="shared" si="51"/>
        <v>999.98199983799714</v>
      </c>
      <c r="J500" s="2">
        <f t="shared" si="52"/>
        <v>994</v>
      </c>
      <c r="K500" s="11">
        <f t="shared" si="53"/>
        <v>1999.9639996759943</v>
      </c>
      <c r="L500" s="2">
        <f t="shared" si="54"/>
        <v>6</v>
      </c>
      <c r="M500" s="2">
        <f t="shared" si="55"/>
        <v>3999.8999986519616</v>
      </c>
      <c r="N500" s="2">
        <f t="shared" si="56"/>
        <v>1558743.8145015317</v>
      </c>
    </row>
    <row r="501" spans="7:14" x14ac:dyDescent="0.25">
      <c r="G501" s="2">
        <v>498</v>
      </c>
      <c r="H501" s="2">
        <f t="shared" si="50"/>
        <v>-999.99199996799973</v>
      </c>
      <c r="I501" s="2">
        <f t="shared" si="51"/>
        <v>999.99199996799973</v>
      </c>
      <c r="J501" s="2">
        <f t="shared" si="52"/>
        <v>996</v>
      </c>
      <c r="K501" s="11">
        <f t="shared" si="53"/>
        <v>1999.9839999359995</v>
      </c>
      <c r="L501" s="2">
        <f t="shared" si="54"/>
        <v>4</v>
      </c>
      <c r="M501" s="2">
        <f t="shared" si="55"/>
        <v>3999.9479996119935</v>
      </c>
      <c r="N501" s="2">
        <f t="shared" si="56"/>
        <v>1562743.7625011436</v>
      </c>
    </row>
    <row r="502" spans="7:14" x14ac:dyDescent="0.25">
      <c r="G502" s="2">
        <v>499</v>
      </c>
      <c r="H502" s="2">
        <f t="shared" si="50"/>
        <v>-999.99799999799995</v>
      </c>
      <c r="I502" s="2">
        <f t="shared" si="51"/>
        <v>999.99799999799995</v>
      </c>
      <c r="J502" s="2">
        <f t="shared" si="52"/>
        <v>998</v>
      </c>
      <c r="K502" s="11">
        <f t="shared" si="53"/>
        <v>1999.9959999959999</v>
      </c>
      <c r="L502" s="2">
        <f t="shared" si="54"/>
        <v>2</v>
      </c>
      <c r="M502" s="2">
        <f t="shared" si="55"/>
        <v>3999.9799999319994</v>
      </c>
      <c r="N502" s="2">
        <f t="shared" si="56"/>
        <v>1566743.7425010756</v>
      </c>
    </row>
    <row r="503" spans="7:14" x14ac:dyDescent="0.25">
      <c r="G503" s="2">
        <v>500</v>
      </c>
      <c r="H503" s="2">
        <f t="shared" si="50"/>
        <v>-1000</v>
      </c>
      <c r="I503" s="2">
        <f t="shared" si="51"/>
        <v>1000</v>
      </c>
      <c r="J503" s="2">
        <f t="shared" si="52"/>
        <v>1000</v>
      </c>
      <c r="K503" s="11">
        <f t="shared" si="53"/>
        <v>2000</v>
      </c>
      <c r="L503" s="2">
        <f t="shared" si="54"/>
        <v>0</v>
      </c>
      <c r="M503" s="2">
        <f t="shared" si="55"/>
        <v>3999.9959999960001</v>
      </c>
      <c r="N503" s="2">
        <f t="shared" si="56"/>
        <v>1570743.7385010717</v>
      </c>
    </row>
    <row r="504" spans="7:14" x14ac:dyDescent="0.25">
      <c r="G504" s="2">
        <v>501</v>
      </c>
      <c r="H504" s="2">
        <f t="shared" si="50"/>
        <v>-999.99799999799995</v>
      </c>
      <c r="I504" s="2">
        <f t="shared" si="51"/>
        <v>999.99799999799995</v>
      </c>
      <c r="J504" s="2">
        <f t="shared" si="52"/>
        <v>1002</v>
      </c>
      <c r="K504" s="11">
        <f t="shared" si="53"/>
        <v>1999.9959999959999</v>
      </c>
      <c r="L504" s="2">
        <f t="shared" si="54"/>
        <v>2</v>
      </c>
      <c r="M504" s="2">
        <f t="shared" si="55"/>
        <v>3999.9959999960001</v>
      </c>
      <c r="N504" s="2">
        <f t="shared" si="56"/>
        <v>1574743.7345010678</v>
      </c>
    </row>
    <row r="505" spans="7:14" x14ac:dyDescent="0.25">
      <c r="G505" s="2">
        <v>502</v>
      </c>
      <c r="H505" s="2">
        <f t="shared" si="50"/>
        <v>-999.99199996799973</v>
      </c>
      <c r="I505" s="2">
        <f t="shared" si="51"/>
        <v>999.99199996799973</v>
      </c>
      <c r="J505" s="2">
        <f t="shared" si="52"/>
        <v>1004</v>
      </c>
      <c r="K505" s="11">
        <f t="shared" si="53"/>
        <v>1999.9839999359995</v>
      </c>
      <c r="L505" s="2">
        <f t="shared" si="54"/>
        <v>4</v>
      </c>
      <c r="M505" s="2">
        <f t="shared" si="55"/>
        <v>3999.9799999319994</v>
      </c>
      <c r="N505" s="2">
        <f t="shared" si="56"/>
        <v>1578743.7145009998</v>
      </c>
    </row>
    <row r="506" spans="7:14" x14ac:dyDescent="0.25">
      <c r="G506" s="2">
        <v>503</v>
      </c>
      <c r="H506" s="2">
        <f t="shared" si="50"/>
        <v>-999.98199983799714</v>
      </c>
      <c r="I506" s="2">
        <f t="shared" si="51"/>
        <v>999.98199983799714</v>
      </c>
      <c r="J506" s="2">
        <f t="shared" si="52"/>
        <v>1006</v>
      </c>
      <c r="K506" s="11">
        <f t="shared" si="53"/>
        <v>1999.9639996759943</v>
      </c>
      <c r="L506" s="2">
        <f t="shared" si="54"/>
        <v>6</v>
      </c>
      <c r="M506" s="2">
        <f t="shared" si="55"/>
        <v>3999.9479996119935</v>
      </c>
      <c r="N506" s="2">
        <f t="shared" si="56"/>
        <v>1582743.6625006117</v>
      </c>
    </row>
    <row r="507" spans="7:14" x14ac:dyDescent="0.25">
      <c r="G507" s="2">
        <v>504</v>
      </c>
      <c r="H507" s="2">
        <f t="shared" si="50"/>
        <v>-999.96799948798366</v>
      </c>
      <c r="I507" s="2">
        <f t="shared" si="51"/>
        <v>999.96799948798366</v>
      </c>
      <c r="J507" s="2">
        <f t="shared" si="52"/>
        <v>1008</v>
      </c>
      <c r="K507" s="11">
        <f t="shared" si="53"/>
        <v>1999.9359989759673</v>
      </c>
      <c r="L507" s="2">
        <f t="shared" si="54"/>
        <v>8</v>
      </c>
      <c r="M507" s="2">
        <f t="shared" si="55"/>
        <v>3999.8999986519616</v>
      </c>
      <c r="N507" s="2">
        <f t="shared" si="56"/>
        <v>1586743.5624992638</v>
      </c>
    </row>
    <row r="508" spans="7:14" x14ac:dyDescent="0.25">
      <c r="G508" s="2">
        <v>505</v>
      </c>
      <c r="H508" s="2">
        <f t="shared" si="50"/>
        <v>-999.94999874993755</v>
      </c>
      <c r="I508" s="2">
        <f t="shared" si="51"/>
        <v>999.94999874993755</v>
      </c>
      <c r="J508" s="2">
        <f t="shared" si="52"/>
        <v>1010</v>
      </c>
      <c r="K508" s="11">
        <f t="shared" si="53"/>
        <v>1999.8999974998751</v>
      </c>
      <c r="L508" s="2">
        <f t="shared" si="54"/>
        <v>10</v>
      </c>
      <c r="M508" s="2">
        <f t="shared" si="55"/>
        <v>3999.8359964758424</v>
      </c>
      <c r="N508" s="2">
        <f t="shared" si="56"/>
        <v>1590743.3984957396</v>
      </c>
    </row>
    <row r="509" spans="7:14" x14ac:dyDescent="0.25">
      <c r="G509" s="2">
        <v>506</v>
      </c>
      <c r="H509" s="2">
        <f t="shared" si="50"/>
        <v>-999.92799740781334</v>
      </c>
      <c r="I509" s="2">
        <f t="shared" si="51"/>
        <v>999.92799740781334</v>
      </c>
      <c r="J509" s="2">
        <f t="shared" si="52"/>
        <v>1012</v>
      </c>
      <c r="K509" s="11">
        <f t="shared" si="53"/>
        <v>1999.8559948156267</v>
      </c>
      <c r="L509" s="2">
        <f t="shared" si="54"/>
        <v>12</v>
      </c>
      <c r="M509" s="2">
        <f t="shared" si="55"/>
        <v>3999.7559923155018</v>
      </c>
      <c r="N509" s="2">
        <f t="shared" si="56"/>
        <v>1594743.154488055</v>
      </c>
    </row>
    <row r="510" spans="7:14" x14ac:dyDescent="0.25">
      <c r="G510" s="2">
        <v>507</v>
      </c>
      <c r="H510" s="2">
        <f t="shared" si="50"/>
        <v>-999.90199519752935</v>
      </c>
      <c r="I510" s="2">
        <f t="shared" si="51"/>
        <v>999.90199519752935</v>
      </c>
      <c r="J510" s="2">
        <f t="shared" si="52"/>
        <v>1014</v>
      </c>
      <c r="K510" s="11">
        <f t="shared" si="53"/>
        <v>1999.8039903950587</v>
      </c>
      <c r="L510" s="2">
        <f t="shared" si="54"/>
        <v>14</v>
      </c>
      <c r="M510" s="2">
        <f t="shared" si="55"/>
        <v>3999.6599852106856</v>
      </c>
      <c r="N510" s="2">
        <f t="shared" si="56"/>
        <v>1598742.8144732658</v>
      </c>
    </row>
    <row r="511" spans="7:14" x14ac:dyDescent="0.25">
      <c r="G511" s="2">
        <v>508</v>
      </c>
      <c r="H511" s="2">
        <f t="shared" si="50"/>
        <v>-999.8719918069512</v>
      </c>
      <c r="I511" s="2">
        <f t="shared" si="51"/>
        <v>999.8719918069512</v>
      </c>
      <c r="J511" s="2">
        <f t="shared" si="52"/>
        <v>1016</v>
      </c>
      <c r="K511" s="11">
        <f t="shared" si="53"/>
        <v>1999.7439836139024</v>
      </c>
      <c r="L511" s="2">
        <f t="shared" si="54"/>
        <v>16</v>
      </c>
      <c r="M511" s="2">
        <f t="shared" si="55"/>
        <v>3999.5479740089613</v>
      </c>
      <c r="N511" s="2">
        <f t="shared" si="56"/>
        <v>1602742.3624472748</v>
      </c>
    </row>
    <row r="512" spans="7:14" x14ac:dyDescent="0.25">
      <c r="G512" s="2">
        <v>509</v>
      </c>
      <c r="H512" s="2">
        <f t="shared" si="50"/>
        <v>-999.83798687587375</v>
      </c>
      <c r="I512" s="2">
        <f t="shared" si="51"/>
        <v>999.83798687587375</v>
      </c>
      <c r="J512" s="2">
        <f t="shared" si="52"/>
        <v>1018</v>
      </c>
      <c r="K512" s="11">
        <f t="shared" si="53"/>
        <v>1999.6759737517475</v>
      </c>
      <c r="L512" s="2">
        <f t="shared" si="54"/>
        <v>18</v>
      </c>
      <c r="M512" s="2">
        <f t="shared" si="55"/>
        <v>3999.4199573656497</v>
      </c>
      <c r="N512" s="2">
        <f t="shared" si="56"/>
        <v>1606741.7824046405</v>
      </c>
    </row>
    <row r="513" spans="7:14" x14ac:dyDescent="0.25">
      <c r="G513" s="2">
        <v>510</v>
      </c>
      <c r="H513" s="2">
        <f t="shared" si="50"/>
        <v>-999.79997999599902</v>
      </c>
      <c r="I513" s="2">
        <f t="shared" si="51"/>
        <v>999.79997999599902</v>
      </c>
      <c r="J513" s="2">
        <f t="shared" si="52"/>
        <v>1020</v>
      </c>
      <c r="K513" s="11">
        <f t="shared" si="53"/>
        <v>1999.599959991998</v>
      </c>
      <c r="L513" s="2">
        <f t="shared" si="54"/>
        <v>20</v>
      </c>
      <c r="M513" s="2">
        <f t="shared" si="55"/>
        <v>3999.2759337437456</v>
      </c>
      <c r="N513" s="2">
        <f t="shared" si="56"/>
        <v>1610741.0583383841</v>
      </c>
    </row>
    <row r="514" spans="7:14" x14ac:dyDescent="0.25">
      <c r="G514" s="2">
        <v>511</v>
      </c>
      <c r="H514" s="2">
        <f t="shared" si="50"/>
        <v>-999.75797071091165</v>
      </c>
      <c r="I514" s="2">
        <f t="shared" si="51"/>
        <v>999.75797071091165</v>
      </c>
      <c r="J514" s="2">
        <f t="shared" si="52"/>
        <v>1022</v>
      </c>
      <c r="K514" s="11">
        <f t="shared" si="53"/>
        <v>1999.5159414218233</v>
      </c>
      <c r="L514" s="2">
        <f t="shared" si="54"/>
        <v>22</v>
      </c>
      <c r="M514" s="2">
        <f t="shared" si="55"/>
        <v>3999.1159014138211</v>
      </c>
      <c r="N514" s="2">
        <f t="shared" si="56"/>
        <v>1614740.174239798</v>
      </c>
    </row>
    <row r="515" spans="7:14" x14ac:dyDescent="0.25">
      <c r="G515" s="2">
        <v>512</v>
      </c>
      <c r="H515" s="2">
        <f t="shared" ref="H515:H578" si="57">IF(G515&lt;POC_BOD,-1*$K515/2,IF(G515=POC_BOD,0,NA()))</f>
        <v>-999.71195851605171</v>
      </c>
      <c r="I515" s="2">
        <f t="shared" ref="I515:I578" si="58">IF(G515&lt;=POC_BOD,$K515/2,IF(G515=POC_BOD,0,NA()))</f>
        <v>999.71195851605171</v>
      </c>
      <c r="J515" s="2">
        <f t="shared" ref="J515:J578" si="59">IF(G515&lt;=POC_BOD,DN_KRUH/POC_BOD*G515,"")</f>
        <v>1024</v>
      </c>
      <c r="K515" s="11">
        <f t="shared" ref="K515:K578" si="60">IF(G515&lt;POC_BOD,2*POWER(POWER(R_KRUH,2)-POWER(ABS(J515-DN_KRUH/2),2),0.5),IF(G515=POC_BOD,0,""))</f>
        <v>1999.4239170321034</v>
      </c>
      <c r="L515" s="2">
        <f t="shared" ref="L515:L578" si="61">IF(G515&lt;=POC_BOD,ABS(J515-DN_KRUH/2),IF(G515=POC_BOD,0,""))</f>
        <v>24</v>
      </c>
      <c r="M515" s="2">
        <f t="shared" si="55"/>
        <v>3998.9398584539267</v>
      </c>
      <c r="N515" s="2">
        <f t="shared" si="56"/>
        <v>1618739.1140982518</v>
      </c>
    </row>
    <row r="516" spans="7:14" x14ac:dyDescent="0.25">
      <c r="G516" s="2">
        <v>513</v>
      </c>
      <c r="H516" s="2">
        <f t="shared" si="57"/>
        <v>-999.6619428586846</v>
      </c>
      <c r="I516" s="2">
        <f t="shared" si="58"/>
        <v>999.6619428586846</v>
      </c>
      <c r="J516" s="2">
        <f t="shared" si="59"/>
        <v>1026</v>
      </c>
      <c r="K516" s="11">
        <f t="shared" si="60"/>
        <v>1999.3238857173692</v>
      </c>
      <c r="L516" s="2">
        <f t="shared" si="61"/>
        <v>26</v>
      </c>
      <c r="M516" s="2">
        <f t="shared" ref="M516:M579" si="62">IF(G515&lt;=POC_BOD,(K515+K516)/2*(J516-J515),"")</f>
        <v>3998.7478027494726</v>
      </c>
      <c r="N516" s="2">
        <f t="shared" ref="N516:N579" si="63">IF(G515&lt;=POC_BOD,((K515+K516)/2*(J516-J515))+N515,"")</f>
        <v>1622737.8619010013</v>
      </c>
    </row>
    <row r="517" spans="7:14" x14ac:dyDescent="0.25">
      <c r="G517" s="2">
        <v>514</v>
      </c>
      <c r="H517" s="2">
        <f t="shared" si="57"/>
        <v>-999.60792313786715</v>
      </c>
      <c r="I517" s="2">
        <f t="shared" si="58"/>
        <v>999.60792313786715</v>
      </c>
      <c r="J517" s="2">
        <f t="shared" si="59"/>
        <v>1028</v>
      </c>
      <c r="K517" s="11">
        <f t="shared" si="60"/>
        <v>1999.2158462757343</v>
      </c>
      <c r="L517" s="2">
        <f t="shared" si="61"/>
        <v>28</v>
      </c>
      <c r="M517" s="2">
        <f t="shared" si="62"/>
        <v>3998.5397319931035</v>
      </c>
      <c r="N517" s="2">
        <f t="shared" si="63"/>
        <v>1626736.4016329944</v>
      </c>
    </row>
    <row r="518" spans="7:14" x14ac:dyDescent="0.25">
      <c r="G518" s="2">
        <v>515</v>
      </c>
      <c r="H518" s="2">
        <f t="shared" si="57"/>
        <v>-999.54989870441182</v>
      </c>
      <c r="I518" s="2">
        <f t="shared" si="58"/>
        <v>999.54989870441182</v>
      </c>
      <c r="J518" s="2">
        <f t="shared" si="59"/>
        <v>1030</v>
      </c>
      <c r="K518" s="11">
        <f t="shared" si="60"/>
        <v>1999.0997974088236</v>
      </c>
      <c r="L518" s="2">
        <f t="shared" si="61"/>
        <v>30</v>
      </c>
      <c r="M518" s="2">
        <f t="shared" si="62"/>
        <v>3998.3156436845579</v>
      </c>
      <c r="N518" s="2">
        <f t="shared" si="63"/>
        <v>1630734.7172766789</v>
      </c>
    </row>
    <row r="519" spans="7:14" x14ac:dyDescent="0.25">
      <c r="G519" s="2">
        <v>516</v>
      </c>
      <c r="H519" s="2">
        <f t="shared" si="57"/>
        <v>-999.48786886084815</v>
      </c>
      <c r="I519" s="2">
        <f t="shared" si="58"/>
        <v>999.48786886084815</v>
      </c>
      <c r="J519" s="2">
        <f t="shared" si="59"/>
        <v>1032</v>
      </c>
      <c r="K519" s="11">
        <f t="shared" si="60"/>
        <v>1998.9757377216963</v>
      </c>
      <c r="L519" s="2">
        <f t="shared" si="61"/>
        <v>32</v>
      </c>
      <c r="M519" s="2">
        <f t="shared" si="62"/>
        <v>3998.0755351305197</v>
      </c>
      <c r="N519" s="2">
        <f t="shared" si="63"/>
        <v>1634732.7928118093</v>
      </c>
    </row>
    <row r="520" spans="7:14" x14ac:dyDescent="0.25">
      <c r="G520" s="2">
        <v>517</v>
      </c>
      <c r="H520" s="2">
        <f t="shared" si="57"/>
        <v>-999.42183286137993</v>
      </c>
      <c r="I520" s="2">
        <f t="shared" si="58"/>
        <v>999.42183286137993</v>
      </c>
      <c r="J520" s="2">
        <f t="shared" si="59"/>
        <v>1034</v>
      </c>
      <c r="K520" s="11">
        <f t="shared" si="60"/>
        <v>1998.8436657227599</v>
      </c>
      <c r="L520" s="2">
        <f t="shared" si="61"/>
        <v>34</v>
      </c>
      <c r="M520" s="2">
        <f t="shared" si="62"/>
        <v>3997.8194034444559</v>
      </c>
      <c r="N520" s="2">
        <f t="shared" si="63"/>
        <v>1638730.6122152538</v>
      </c>
    </row>
    <row r="521" spans="7:14" x14ac:dyDescent="0.25">
      <c r="G521" s="2">
        <v>518</v>
      </c>
      <c r="H521" s="2">
        <f t="shared" si="57"/>
        <v>-999.3517899118408</v>
      </c>
      <c r="I521" s="2">
        <f t="shared" si="58"/>
        <v>999.3517899118408</v>
      </c>
      <c r="J521" s="2">
        <f t="shared" si="59"/>
        <v>1036</v>
      </c>
      <c r="K521" s="11">
        <f t="shared" si="60"/>
        <v>1998.7035798236816</v>
      </c>
      <c r="L521" s="2">
        <f t="shared" si="61"/>
        <v>36</v>
      </c>
      <c r="M521" s="2">
        <f t="shared" si="62"/>
        <v>3997.5472455464414</v>
      </c>
      <c r="N521" s="2">
        <f t="shared" si="63"/>
        <v>1642728.1594608002</v>
      </c>
    </row>
    <row r="522" spans="7:14" x14ac:dyDescent="0.25">
      <c r="G522" s="2">
        <v>519</v>
      </c>
      <c r="H522" s="2">
        <f t="shared" si="57"/>
        <v>-999.27773916964645</v>
      </c>
      <c r="I522" s="2">
        <f t="shared" si="58"/>
        <v>999.27773916964645</v>
      </c>
      <c r="J522" s="2">
        <f t="shared" si="59"/>
        <v>1038</v>
      </c>
      <c r="K522" s="11">
        <f t="shared" si="60"/>
        <v>1998.5554783392929</v>
      </c>
      <c r="L522" s="2">
        <f t="shared" si="61"/>
        <v>38</v>
      </c>
      <c r="M522" s="2">
        <f t="shared" si="62"/>
        <v>3997.2590581629747</v>
      </c>
      <c r="N522" s="2">
        <f t="shared" si="63"/>
        <v>1646725.4185189633</v>
      </c>
    </row>
    <row r="523" spans="7:14" x14ac:dyDescent="0.25">
      <c r="G523" s="2">
        <v>520</v>
      </c>
      <c r="H523" s="2">
        <f t="shared" si="57"/>
        <v>-999.19967974374367</v>
      </c>
      <c r="I523" s="2">
        <f t="shared" si="58"/>
        <v>999.19967974374367</v>
      </c>
      <c r="J523" s="2">
        <f t="shared" si="59"/>
        <v>1040</v>
      </c>
      <c r="K523" s="11">
        <f t="shared" si="60"/>
        <v>1998.3993594874873</v>
      </c>
      <c r="L523" s="2">
        <f t="shared" si="61"/>
        <v>40</v>
      </c>
      <c r="M523" s="2">
        <f t="shared" si="62"/>
        <v>3996.95483782678</v>
      </c>
      <c r="N523" s="2">
        <f t="shared" si="63"/>
        <v>1650722.37335679</v>
      </c>
    </row>
    <row r="524" spans="7:14" x14ac:dyDescent="0.25">
      <c r="G524" s="2">
        <v>521</v>
      </c>
      <c r="H524" s="2">
        <f t="shared" si="57"/>
        <v>-999.11761069455679</v>
      </c>
      <c r="I524" s="2">
        <f t="shared" si="58"/>
        <v>999.11761069455679</v>
      </c>
      <c r="J524" s="2">
        <f t="shared" si="59"/>
        <v>1042</v>
      </c>
      <c r="K524" s="11">
        <f t="shared" si="60"/>
        <v>1998.2352213891136</v>
      </c>
      <c r="L524" s="2">
        <f t="shared" si="61"/>
        <v>42</v>
      </c>
      <c r="M524" s="2">
        <f t="shared" si="62"/>
        <v>3996.6345808766009</v>
      </c>
      <c r="N524" s="2">
        <f t="shared" si="63"/>
        <v>1654719.0079376667</v>
      </c>
    </row>
    <row r="525" spans="7:14" x14ac:dyDescent="0.25">
      <c r="G525" s="2">
        <v>522</v>
      </c>
      <c r="H525" s="2">
        <f t="shared" si="57"/>
        <v>-999.03153103393083</v>
      </c>
      <c r="I525" s="2">
        <f t="shared" si="58"/>
        <v>999.03153103393083</v>
      </c>
      <c r="J525" s="2">
        <f t="shared" si="59"/>
        <v>1044</v>
      </c>
      <c r="K525" s="11">
        <f t="shared" si="60"/>
        <v>1998.0630620678617</v>
      </c>
      <c r="L525" s="2">
        <f t="shared" si="61"/>
        <v>44</v>
      </c>
      <c r="M525" s="2">
        <f t="shared" si="62"/>
        <v>3996.2982834569752</v>
      </c>
      <c r="N525" s="2">
        <f t="shared" si="63"/>
        <v>1658715.3062211238</v>
      </c>
    </row>
    <row r="526" spans="7:14" x14ac:dyDescent="0.25">
      <c r="G526" s="2">
        <v>523</v>
      </c>
      <c r="H526" s="2">
        <f t="shared" si="57"/>
        <v>-998.9414397250722</v>
      </c>
      <c r="I526" s="2">
        <f t="shared" si="58"/>
        <v>998.9414397250722</v>
      </c>
      <c r="J526" s="2">
        <f t="shared" si="59"/>
        <v>1046</v>
      </c>
      <c r="K526" s="11">
        <f t="shared" si="60"/>
        <v>1997.8828794501444</v>
      </c>
      <c r="L526" s="2">
        <f t="shared" si="61"/>
        <v>46</v>
      </c>
      <c r="M526" s="2">
        <f t="shared" si="62"/>
        <v>3995.9459415180063</v>
      </c>
      <c r="N526" s="2">
        <f t="shared" si="63"/>
        <v>1662711.2521626418</v>
      </c>
    </row>
    <row r="527" spans="7:14" x14ac:dyDescent="0.25">
      <c r="G527" s="2">
        <v>524</v>
      </c>
      <c r="H527" s="2">
        <f t="shared" si="57"/>
        <v>-998.84733568248555</v>
      </c>
      <c r="I527" s="2">
        <f t="shared" si="58"/>
        <v>998.84733568248555</v>
      </c>
      <c r="J527" s="2">
        <f t="shared" si="59"/>
        <v>1048</v>
      </c>
      <c r="K527" s="11">
        <f t="shared" si="60"/>
        <v>1997.6946713649711</v>
      </c>
      <c r="L527" s="2">
        <f t="shared" si="61"/>
        <v>48</v>
      </c>
      <c r="M527" s="2">
        <f t="shared" si="62"/>
        <v>3995.5775508151155</v>
      </c>
      <c r="N527" s="2">
        <f t="shared" si="63"/>
        <v>1666706.829713457</v>
      </c>
    </row>
    <row r="528" spans="7:14" x14ac:dyDescent="0.25">
      <c r="G528" s="2">
        <v>525</v>
      </c>
      <c r="H528" s="2">
        <f t="shared" si="57"/>
        <v>-998.749217771909</v>
      </c>
      <c r="I528" s="2">
        <f t="shared" si="58"/>
        <v>998.749217771909</v>
      </c>
      <c r="J528" s="2">
        <f t="shared" si="59"/>
        <v>1050</v>
      </c>
      <c r="K528" s="11">
        <f t="shared" si="60"/>
        <v>1997.498435543818</v>
      </c>
      <c r="L528" s="2">
        <f t="shared" si="61"/>
        <v>50</v>
      </c>
      <c r="M528" s="2">
        <f t="shared" si="62"/>
        <v>3995.1931069087891</v>
      </c>
      <c r="N528" s="2">
        <f t="shared" si="63"/>
        <v>1670702.0228203658</v>
      </c>
    </row>
    <row r="529" spans="7:14" x14ac:dyDescent="0.25">
      <c r="G529" s="2">
        <v>526</v>
      </c>
      <c r="H529" s="2">
        <f t="shared" si="57"/>
        <v>-998.64708481024468</v>
      </c>
      <c r="I529" s="2">
        <f t="shared" si="58"/>
        <v>998.64708481024468</v>
      </c>
      <c r="J529" s="2">
        <f t="shared" si="59"/>
        <v>1052</v>
      </c>
      <c r="K529" s="11">
        <f t="shared" si="60"/>
        <v>1997.2941696204894</v>
      </c>
      <c r="L529" s="2">
        <f t="shared" si="61"/>
        <v>52</v>
      </c>
      <c r="M529" s="2">
        <f t="shared" si="62"/>
        <v>3994.7926051643071</v>
      </c>
      <c r="N529" s="2">
        <f t="shared" si="63"/>
        <v>1674696.8154255301</v>
      </c>
    </row>
    <row r="530" spans="7:14" x14ac:dyDescent="0.25">
      <c r="G530" s="2">
        <v>527</v>
      </c>
      <c r="H530" s="2">
        <f t="shared" si="57"/>
        <v>-998.54093556548798</v>
      </c>
      <c r="I530" s="2">
        <f t="shared" si="58"/>
        <v>998.54093556548798</v>
      </c>
      <c r="J530" s="2">
        <f t="shared" si="59"/>
        <v>1054</v>
      </c>
      <c r="K530" s="11">
        <f t="shared" si="60"/>
        <v>1997.081871130976</v>
      </c>
      <c r="L530" s="2">
        <f t="shared" si="61"/>
        <v>54</v>
      </c>
      <c r="M530" s="2">
        <f t="shared" si="62"/>
        <v>3994.3760407514656</v>
      </c>
      <c r="N530" s="2">
        <f t="shared" si="63"/>
        <v>1678691.1914662817</v>
      </c>
    </row>
    <row r="531" spans="7:14" x14ac:dyDescent="0.25">
      <c r="G531" s="2">
        <v>528</v>
      </c>
      <c r="H531" s="2">
        <f t="shared" si="57"/>
        <v>-998.43076875665247</v>
      </c>
      <c r="I531" s="2">
        <f t="shared" si="58"/>
        <v>998.43076875665247</v>
      </c>
      <c r="J531" s="2">
        <f t="shared" si="59"/>
        <v>1056</v>
      </c>
      <c r="K531" s="11">
        <f t="shared" si="60"/>
        <v>1996.8615375133049</v>
      </c>
      <c r="L531" s="2">
        <f t="shared" si="61"/>
        <v>56</v>
      </c>
      <c r="M531" s="2">
        <f t="shared" si="62"/>
        <v>3993.9434086442807</v>
      </c>
      <c r="N531" s="2">
        <f t="shared" si="63"/>
        <v>1682685.1348749259</v>
      </c>
    </row>
    <row r="532" spans="7:14" x14ac:dyDescent="0.25">
      <c r="G532" s="2">
        <v>529</v>
      </c>
      <c r="H532" s="2">
        <f t="shared" si="57"/>
        <v>-998.3165830536924</v>
      </c>
      <c r="I532" s="2">
        <f t="shared" si="58"/>
        <v>998.3165830536924</v>
      </c>
      <c r="J532" s="2">
        <f t="shared" si="59"/>
        <v>1058</v>
      </c>
      <c r="K532" s="11">
        <f t="shared" si="60"/>
        <v>1996.6331661073848</v>
      </c>
      <c r="L532" s="2">
        <f t="shared" si="61"/>
        <v>58</v>
      </c>
      <c r="M532" s="2">
        <f t="shared" si="62"/>
        <v>3993.4947036206895</v>
      </c>
      <c r="N532" s="2">
        <f t="shared" si="63"/>
        <v>1686678.6295785466</v>
      </c>
    </row>
    <row r="533" spans="7:14" x14ac:dyDescent="0.25">
      <c r="G533" s="2">
        <v>530</v>
      </c>
      <c r="H533" s="2">
        <f t="shared" si="57"/>
        <v>-998.19837707742238</v>
      </c>
      <c r="I533" s="2">
        <f t="shared" si="58"/>
        <v>998.19837707742238</v>
      </c>
      <c r="J533" s="2">
        <f t="shared" si="59"/>
        <v>1060</v>
      </c>
      <c r="K533" s="11">
        <f t="shared" si="60"/>
        <v>1996.3967541548448</v>
      </c>
      <c r="L533" s="2">
        <f t="shared" si="61"/>
        <v>60</v>
      </c>
      <c r="M533" s="2">
        <f t="shared" si="62"/>
        <v>3993.0299202622296</v>
      </c>
      <c r="N533" s="2">
        <f t="shared" si="63"/>
        <v>1690671.6594988089</v>
      </c>
    </row>
    <row r="534" spans="7:14" x14ac:dyDescent="0.25">
      <c r="G534" s="2">
        <v>531</v>
      </c>
      <c r="H534" s="2">
        <f t="shared" si="57"/>
        <v>-998.07614939943335</v>
      </c>
      <c r="I534" s="2">
        <f t="shared" si="58"/>
        <v>998.07614939943335</v>
      </c>
      <c r="J534" s="2">
        <f t="shared" si="59"/>
        <v>1062</v>
      </c>
      <c r="K534" s="11">
        <f t="shared" si="60"/>
        <v>1996.1522987988667</v>
      </c>
      <c r="L534" s="2">
        <f t="shared" si="61"/>
        <v>62</v>
      </c>
      <c r="M534" s="2">
        <f t="shared" si="62"/>
        <v>3992.5490529537115</v>
      </c>
      <c r="N534" s="2">
        <f t="shared" si="63"/>
        <v>1694664.2085517626</v>
      </c>
    </row>
    <row r="535" spans="7:14" x14ac:dyDescent="0.25">
      <c r="G535" s="2">
        <v>532</v>
      </c>
      <c r="H535" s="2">
        <f t="shared" si="57"/>
        <v>-997.94989854200594</v>
      </c>
      <c r="I535" s="2">
        <f t="shared" si="58"/>
        <v>997.94989854200594</v>
      </c>
      <c r="J535" s="2">
        <f t="shared" si="59"/>
        <v>1064</v>
      </c>
      <c r="K535" s="11">
        <f t="shared" si="60"/>
        <v>1995.8997970840119</v>
      </c>
      <c r="L535" s="2">
        <f t="shared" si="61"/>
        <v>64</v>
      </c>
      <c r="M535" s="2">
        <f t="shared" si="62"/>
        <v>3992.0520958828783</v>
      </c>
      <c r="N535" s="2">
        <f t="shared" si="63"/>
        <v>1698656.2606476455</v>
      </c>
    </row>
    <row r="536" spans="7:14" x14ac:dyDescent="0.25">
      <c r="G536" s="2">
        <v>533</v>
      </c>
      <c r="H536" s="2">
        <f t="shared" si="57"/>
        <v>-997.81962297802102</v>
      </c>
      <c r="I536" s="2">
        <f t="shared" si="58"/>
        <v>997.81962297802102</v>
      </c>
      <c r="J536" s="2">
        <f t="shared" si="59"/>
        <v>1066</v>
      </c>
      <c r="K536" s="11">
        <f t="shared" si="60"/>
        <v>1995.639245956042</v>
      </c>
      <c r="L536" s="2">
        <f t="shared" si="61"/>
        <v>66</v>
      </c>
      <c r="M536" s="2">
        <f t="shared" si="62"/>
        <v>3991.5390430400539</v>
      </c>
      <c r="N536" s="2">
        <f t="shared" si="63"/>
        <v>1702647.7996906855</v>
      </c>
    </row>
    <row r="537" spans="7:14" x14ac:dyDescent="0.25">
      <c r="G537" s="2">
        <v>534</v>
      </c>
      <c r="H537" s="2">
        <f t="shared" si="57"/>
        <v>-997.68532113086644</v>
      </c>
      <c r="I537" s="2">
        <f t="shared" si="58"/>
        <v>997.68532113086644</v>
      </c>
      <c r="J537" s="2">
        <f t="shared" si="59"/>
        <v>1068</v>
      </c>
      <c r="K537" s="11">
        <f t="shared" si="60"/>
        <v>1995.3706422617329</v>
      </c>
      <c r="L537" s="2">
        <f t="shared" si="61"/>
        <v>68</v>
      </c>
      <c r="M537" s="2">
        <f t="shared" si="62"/>
        <v>3991.0098882177749</v>
      </c>
      <c r="N537" s="2">
        <f t="shared" si="63"/>
        <v>1706638.8095789033</v>
      </c>
    </row>
    <row r="538" spans="7:14" x14ac:dyDescent="0.25">
      <c r="G538" s="2">
        <v>535</v>
      </c>
      <c r="H538" s="2">
        <f t="shared" si="57"/>
        <v>-997.54699137434125</v>
      </c>
      <c r="I538" s="2">
        <f t="shared" si="58"/>
        <v>997.54699137434125</v>
      </c>
      <c r="J538" s="2">
        <f t="shared" si="59"/>
        <v>1070</v>
      </c>
      <c r="K538" s="11">
        <f t="shared" si="60"/>
        <v>1995.0939827486825</v>
      </c>
      <c r="L538" s="2">
        <f t="shared" si="61"/>
        <v>70</v>
      </c>
      <c r="M538" s="2">
        <f t="shared" si="62"/>
        <v>3990.4646250104151</v>
      </c>
      <c r="N538" s="2">
        <f t="shared" si="63"/>
        <v>1710629.2742039138</v>
      </c>
    </row>
    <row r="539" spans="7:14" x14ac:dyDescent="0.25">
      <c r="G539" s="2">
        <v>536</v>
      </c>
      <c r="H539" s="2">
        <f t="shared" si="57"/>
        <v>-997.40463203255683</v>
      </c>
      <c r="I539" s="2">
        <f t="shared" si="58"/>
        <v>997.40463203255683</v>
      </c>
      <c r="J539" s="2">
        <f t="shared" si="59"/>
        <v>1072</v>
      </c>
      <c r="K539" s="11">
        <f t="shared" si="60"/>
        <v>1994.8092640651137</v>
      </c>
      <c r="L539" s="2">
        <f t="shared" si="61"/>
        <v>72</v>
      </c>
      <c r="M539" s="2">
        <f t="shared" si="62"/>
        <v>3989.9032468137962</v>
      </c>
      <c r="N539" s="2">
        <f t="shared" si="63"/>
        <v>1714619.1774507274</v>
      </c>
    </row>
    <row r="540" spans="7:14" x14ac:dyDescent="0.25">
      <c r="G540" s="2">
        <v>537</v>
      </c>
      <c r="H540" s="2">
        <f t="shared" si="57"/>
        <v>-997.25824137983443</v>
      </c>
      <c r="I540" s="2">
        <f t="shared" si="58"/>
        <v>997.25824137983443</v>
      </c>
      <c r="J540" s="2">
        <f t="shared" si="59"/>
        <v>1074</v>
      </c>
      <c r="K540" s="11">
        <f t="shared" si="60"/>
        <v>1994.5164827596689</v>
      </c>
      <c r="L540" s="2">
        <f t="shared" si="61"/>
        <v>74</v>
      </c>
      <c r="M540" s="2">
        <f t="shared" si="62"/>
        <v>3989.3257468247825</v>
      </c>
      <c r="N540" s="2">
        <f t="shared" si="63"/>
        <v>1718608.5031975522</v>
      </c>
    </row>
    <row r="541" spans="7:14" x14ac:dyDescent="0.25">
      <c r="G541" s="2">
        <v>538</v>
      </c>
      <c r="H541" s="2">
        <f t="shared" si="57"/>
        <v>-997.10781764059993</v>
      </c>
      <c r="I541" s="2">
        <f t="shared" si="58"/>
        <v>997.10781764059993</v>
      </c>
      <c r="J541" s="2">
        <f t="shared" si="59"/>
        <v>1076</v>
      </c>
      <c r="K541" s="11">
        <f t="shared" si="60"/>
        <v>1994.2156352811999</v>
      </c>
      <c r="L541" s="2">
        <f t="shared" si="61"/>
        <v>76</v>
      </c>
      <c r="M541" s="2">
        <f t="shared" si="62"/>
        <v>3988.732118040869</v>
      </c>
      <c r="N541" s="2">
        <f t="shared" si="63"/>
        <v>1722597.235315593</v>
      </c>
    </row>
    <row r="542" spans="7:14" x14ac:dyDescent="0.25">
      <c r="G542" s="2">
        <v>539</v>
      </c>
      <c r="H542" s="2">
        <f t="shared" si="57"/>
        <v>-996.9533589892759</v>
      </c>
      <c r="I542" s="2">
        <f t="shared" si="58"/>
        <v>996.9533589892759</v>
      </c>
      <c r="J542" s="2">
        <f t="shared" si="59"/>
        <v>1078</v>
      </c>
      <c r="K542" s="11">
        <f t="shared" si="60"/>
        <v>1993.9067179785518</v>
      </c>
      <c r="L542" s="2">
        <f t="shared" si="61"/>
        <v>78</v>
      </c>
      <c r="M542" s="2">
        <f t="shared" si="62"/>
        <v>3988.1223532597514</v>
      </c>
      <c r="N542" s="2">
        <f t="shared" si="63"/>
        <v>1726585.3576688527</v>
      </c>
    </row>
    <row r="543" spans="7:14" x14ac:dyDescent="0.25">
      <c r="G543" s="2">
        <v>540</v>
      </c>
      <c r="H543" s="2">
        <f t="shared" si="57"/>
        <v>-996.794863550169</v>
      </c>
      <c r="I543" s="2">
        <f t="shared" si="58"/>
        <v>996.794863550169</v>
      </c>
      <c r="J543" s="2">
        <f t="shared" si="59"/>
        <v>1080</v>
      </c>
      <c r="K543" s="11">
        <f t="shared" si="60"/>
        <v>1993.589727100338</v>
      </c>
      <c r="L543" s="2">
        <f t="shared" si="61"/>
        <v>80</v>
      </c>
      <c r="M543" s="2">
        <f t="shared" si="62"/>
        <v>3987.4964450788898</v>
      </c>
      <c r="N543" s="2">
        <f t="shared" si="63"/>
        <v>1730572.8541139315</v>
      </c>
    </row>
    <row r="544" spans="7:14" x14ac:dyDescent="0.25">
      <c r="G544" s="2">
        <v>541</v>
      </c>
      <c r="H544" s="2">
        <f t="shared" si="57"/>
        <v>-996.63232939735599</v>
      </c>
      <c r="I544" s="2">
        <f t="shared" si="58"/>
        <v>996.63232939735599</v>
      </c>
      <c r="J544" s="2">
        <f t="shared" si="59"/>
        <v>1082</v>
      </c>
      <c r="K544" s="11">
        <f t="shared" si="60"/>
        <v>1993.264658794712</v>
      </c>
      <c r="L544" s="2">
        <f t="shared" si="61"/>
        <v>82</v>
      </c>
      <c r="M544" s="2">
        <f t="shared" si="62"/>
        <v>3986.8543858950497</v>
      </c>
      <c r="N544" s="2">
        <f t="shared" si="63"/>
        <v>1734559.7084998265</v>
      </c>
    </row>
    <row r="545" spans="7:14" x14ac:dyDescent="0.25">
      <c r="G545" s="2">
        <v>542</v>
      </c>
      <c r="H545" s="2">
        <f t="shared" si="57"/>
        <v>-996.46575455456571</v>
      </c>
      <c r="I545" s="2">
        <f t="shared" si="58"/>
        <v>996.46575455456571</v>
      </c>
      <c r="J545" s="2">
        <f t="shared" si="59"/>
        <v>1084</v>
      </c>
      <c r="K545" s="11">
        <f t="shared" si="60"/>
        <v>1992.9315091091314</v>
      </c>
      <c r="L545" s="2">
        <f t="shared" si="61"/>
        <v>84</v>
      </c>
      <c r="M545" s="2">
        <f t="shared" si="62"/>
        <v>3986.1961679038432</v>
      </c>
      <c r="N545" s="2">
        <f t="shared" si="63"/>
        <v>1738545.9046677304</v>
      </c>
    </row>
    <row r="546" spans="7:14" x14ac:dyDescent="0.25">
      <c r="G546" s="2">
        <v>543</v>
      </c>
      <c r="H546" s="2">
        <f t="shared" si="57"/>
        <v>-996.29513699505731</v>
      </c>
      <c r="I546" s="2">
        <f t="shared" si="58"/>
        <v>996.29513699505731</v>
      </c>
      <c r="J546" s="2">
        <f t="shared" si="59"/>
        <v>1086</v>
      </c>
      <c r="K546" s="11">
        <f t="shared" si="60"/>
        <v>1992.5902739901146</v>
      </c>
      <c r="L546" s="2">
        <f t="shared" si="61"/>
        <v>86</v>
      </c>
      <c r="M546" s="2">
        <f t="shared" si="62"/>
        <v>3985.521783099246</v>
      </c>
      <c r="N546" s="2">
        <f t="shared" si="63"/>
        <v>1742531.4264508297</v>
      </c>
    </row>
    <row r="547" spans="7:14" x14ac:dyDescent="0.25">
      <c r="G547" s="2">
        <v>544</v>
      </c>
      <c r="H547" s="2">
        <f t="shared" si="57"/>
        <v>-996.12047464149634</v>
      </c>
      <c r="I547" s="2">
        <f t="shared" si="58"/>
        <v>996.12047464149634</v>
      </c>
      <c r="J547" s="2">
        <f t="shared" si="59"/>
        <v>1088</v>
      </c>
      <c r="K547" s="11">
        <f t="shared" si="60"/>
        <v>1992.2409492829927</v>
      </c>
      <c r="L547" s="2">
        <f t="shared" si="61"/>
        <v>88</v>
      </c>
      <c r="M547" s="2">
        <f t="shared" si="62"/>
        <v>3984.8312232731073</v>
      </c>
      <c r="N547" s="2">
        <f t="shared" si="63"/>
        <v>1746516.2576741029</v>
      </c>
    </row>
    <row r="548" spans="7:14" x14ac:dyDescent="0.25">
      <c r="G548" s="2">
        <v>545</v>
      </c>
      <c r="H548" s="2">
        <f t="shared" si="57"/>
        <v>-995.941765365827</v>
      </c>
      <c r="I548" s="2">
        <f t="shared" si="58"/>
        <v>995.941765365827</v>
      </c>
      <c r="J548" s="2">
        <f t="shared" si="59"/>
        <v>1090</v>
      </c>
      <c r="K548" s="11">
        <f t="shared" si="60"/>
        <v>1991.883530731654</v>
      </c>
      <c r="L548" s="2">
        <f t="shared" si="61"/>
        <v>90</v>
      </c>
      <c r="M548" s="2">
        <f t="shared" si="62"/>
        <v>3984.1244800146469</v>
      </c>
      <c r="N548" s="2">
        <f t="shared" si="63"/>
        <v>1750500.3821541176</v>
      </c>
    </row>
    <row r="549" spans="7:14" x14ac:dyDescent="0.25">
      <c r="G549" s="2">
        <v>546</v>
      </c>
      <c r="H549" s="2">
        <f t="shared" si="57"/>
        <v>-995.75900698914097</v>
      </c>
      <c r="I549" s="2">
        <f t="shared" si="58"/>
        <v>995.75900698914097</v>
      </c>
      <c r="J549" s="2">
        <f t="shared" si="59"/>
        <v>1092</v>
      </c>
      <c r="K549" s="11">
        <f t="shared" si="60"/>
        <v>1991.5180139782819</v>
      </c>
      <c r="L549" s="2">
        <f t="shared" si="61"/>
        <v>92</v>
      </c>
      <c r="M549" s="2">
        <f t="shared" si="62"/>
        <v>3983.4015447099359</v>
      </c>
      <c r="N549" s="2">
        <f t="shared" si="63"/>
        <v>1754483.7836988275</v>
      </c>
    </row>
    <row r="550" spans="7:14" x14ac:dyDescent="0.25">
      <c r="G550" s="2">
        <v>547</v>
      </c>
      <c r="H550" s="2">
        <f t="shared" si="57"/>
        <v>-995.57219728154325</v>
      </c>
      <c r="I550" s="2">
        <f t="shared" si="58"/>
        <v>995.57219728154325</v>
      </c>
      <c r="J550" s="2">
        <f t="shared" si="59"/>
        <v>1094</v>
      </c>
      <c r="K550" s="11">
        <f t="shared" si="60"/>
        <v>1991.1443945630865</v>
      </c>
      <c r="L550" s="2">
        <f t="shared" si="61"/>
        <v>94</v>
      </c>
      <c r="M550" s="2">
        <f t="shared" si="62"/>
        <v>3982.6624085413687</v>
      </c>
      <c r="N550" s="2">
        <f t="shared" si="63"/>
        <v>1758466.4461073689</v>
      </c>
    </row>
    <row r="551" spans="7:14" x14ac:dyDescent="0.25">
      <c r="G551" s="2">
        <v>548</v>
      </c>
      <c r="H551" s="2">
        <f t="shared" si="57"/>
        <v>-995.38133396201476</v>
      </c>
      <c r="I551" s="2">
        <f t="shared" si="58"/>
        <v>995.38133396201476</v>
      </c>
      <c r="J551" s="2">
        <f t="shared" si="59"/>
        <v>1096</v>
      </c>
      <c r="K551" s="11">
        <f t="shared" si="60"/>
        <v>1990.7626679240295</v>
      </c>
      <c r="L551" s="2">
        <f t="shared" si="61"/>
        <v>96</v>
      </c>
      <c r="M551" s="2">
        <f t="shared" si="62"/>
        <v>3981.907062487116</v>
      </c>
      <c r="N551" s="2">
        <f t="shared" si="63"/>
        <v>1762448.3531698561</v>
      </c>
    </row>
    <row r="552" spans="7:14" x14ac:dyDescent="0.25">
      <c r="G552" s="2">
        <v>549</v>
      </c>
      <c r="H552" s="2">
        <f t="shared" si="57"/>
        <v>-995.18641469827151</v>
      </c>
      <c r="I552" s="2">
        <f t="shared" si="58"/>
        <v>995.18641469827151</v>
      </c>
      <c r="J552" s="2">
        <f t="shared" si="59"/>
        <v>1098</v>
      </c>
      <c r="K552" s="11">
        <f t="shared" si="60"/>
        <v>1990.372829396543</v>
      </c>
      <c r="L552" s="2">
        <f t="shared" si="61"/>
        <v>98</v>
      </c>
      <c r="M552" s="2">
        <f t="shared" si="62"/>
        <v>3981.1354973205725</v>
      </c>
      <c r="N552" s="2">
        <f t="shared" si="63"/>
        <v>1766429.4886671768</v>
      </c>
    </row>
    <row r="553" spans="7:14" x14ac:dyDescent="0.25">
      <c r="G553" s="2">
        <v>550</v>
      </c>
      <c r="H553" s="2">
        <f t="shared" si="57"/>
        <v>-994.98743710661995</v>
      </c>
      <c r="I553" s="2">
        <f t="shared" si="58"/>
        <v>994.98743710661995</v>
      </c>
      <c r="J553" s="2">
        <f t="shared" si="59"/>
        <v>1100</v>
      </c>
      <c r="K553" s="11">
        <f t="shared" si="60"/>
        <v>1989.9748742132399</v>
      </c>
      <c r="L553" s="2">
        <f t="shared" si="61"/>
        <v>100</v>
      </c>
      <c r="M553" s="2">
        <f t="shared" si="62"/>
        <v>3980.3477036097829</v>
      </c>
      <c r="N553" s="2">
        <f t="shared" si="63"/>
        <v>1770409.8363707867</v>
      </c>
    </row>
    <row r="554" spans="7:14" x14ac:dyDescent="0.25">
      <c r="G554" s="2">
        <v>551</v>
      </c>
      <c r="H554" s="2">
        <f t="shared" si="57"/>
        <v>-994.78439875180993</v>
      </c>
      <c r="I554" s="2">
        <f t="shared" si="58"/>
        <v>994.78439875180993</v>
      </c>
      <c r="J554" s="2">
        <f t="shared" si="59"/>
        <v>1102</v>
      </c>
      <c r="K554" s="11">
        <f t="shared" si="60"/>
        <v>1989.5687975036199</v>
      </c>
      <c r="L554" s="2">
        <f t="shared" si="61"/>
        <v>102</v>
      </c>
      <c r="M554" s="2">
        <f t="shared" si="62"/>
        <v>3979.5436717168595</v>
      </c>
      <c r="N554" s="2">
        <f t="shared" si="63"/>
        <v>1774389.3800425036</v>
      </c>
    </row>
    <row r="555" spans="7:14" x14ac:dyDescent="0.25">
      <c r="G555" s="2">
        <v>552</v>
      </c>
      <c r="H555" s="2">
        <f t="shared" si="57"/>
        <v>-994.57729714688344</v>
      </c>
      <c r="I555" s="2">
        <f t="shared" si="58"/>
        <v>994.57729714688344</v>
      </c>
      <c r="J555" s="2">
        <f t="shared" si="59"/>
        <v>1104</v>
      </c>
      <c r="K555" s="11">
        <f t="shared" si="60"/>
        <v>1989.1545942937669</v>
      </c>
      <c r="L555" s="2">
        <f t="shared" si="61"/>
        <v>104</v>
      </c>
      <c r="M555" s="2">
        <f t="shared" si="62"/>
        <v>3978.7233917973867</v>
      </c>
      <c r="N555" s="2">
        <f t="shared" si="63"/>
        <v>1778368.103434301</v>
      </c>
    </row>
    <row r="556" spans="7:14" x14ac:dyDescent="0.25">
      <c r="G556" s="2">
        <v>553</v>
      </c>
      <c r="H556" s="2">
        <f t="shared" si="57"/>
        <v>-994.36612975302012</v>
      </c>
      <c r="I556" s="2">
        <f t="shared" si="58"/>
        <v>994.36612975302012</v>
      </c>
      <c r="J556" s="2">
        <f t="shared" si="59"/>
        <v>1106</v>
      </c>
      <c r="K556" s="11">
        <f t="shared" si="60"/>
        <v>1988.7322595060402</v>
      </c>
      <c r="L556" s="2">
        <f t="shared" si="61"/>
        <v>106</v>
      </c>
      <c r="M556" s="2">
        <f t="shared" si="62"/>
        <v>3977.8868537998069</v>
      </c>
      <c r="N556" s="2">
        <f t="shared" si="63"/>
        <v>1782345.9902881009</v>
      </c>
    </row>
    <row r="557" spans="7:14" x14ac:dyDescent="0.25">
      <c r="G557" s="2">
        <v>554</v>
      </c>
      <c r="H557" s="2">
        <f t="shared" si="57"/>
        <v>-994.15089397937982</v>
      </c>
      <c r="I557" s="2">
        <f t="shared" si="58"/>
        <v>994.15089397937982</v>
      </c>
      <c r="J557" s="2">
        <f t="shared" si="59"/>
        <v>1108</v>
      </c>
      <c r="K557" s="11">
        <f t="shared" si="60"/>
        <v>1988.3017879587596</v>
      </c>
      <c r="L557" s="2">
        <f t="shared" si="61"/>
        <v>108</v>
      </c>
      <c r="M557" s="2">
        <f t="shared" si="62"/>
        <v>3977.0340474648001</v>
      </c>
      <c r="N557" s="2">
        <f t="shared" si="63"/>
        <v>1786323.0243355657</v>
      </c>
    </row>
    <row r="558" spans="7:14" x14ac:dyDescent="0.25">
      <c r="G558" s="2">
        <v>555</v>
      </c>
      <c r="H558" s="2">
        <f t="shared" si="57"/>
        <v>-993.93158718294092</v>
      </c>
      <c r="I558" s="2">
        <f t="shared" si="58"/>
        <v>993.93158718294092</v>
      </c>
      <c r="J558" s="2">
        <f t="shared" si="59"/>
        <v>1110</v>
      </c>
      <c r="K558" s="11">
        <f t="shared" si="60"/>
        <v>1987.8631743658818</v>
      </c>
      <c r="L558" s="2">
        <f t="shared" si="61"/>
        <v>110</v>
      </c>
      <c r="M558" s="2">
        <f t="shared" si="62"/>
        <v>3976.1649623246412</v>
      </c>
      <c r="N558" s="2">
        <f t="shared" si="63"/>
        <v>1790299.1892978903</v>
      </c>
    </row>
    <row r="559" spans="7:14" x14ac:dyDescent="0.25">
      <c r="G559" s="2">
        <v>556</v>
      </c>
      <c r="H559" s="2">
        <f t="shared" si="57"/>
        <v>-993.70820666833583</v>
      </c>
      <c r="I559" s="2">
        <f t="shared" si="58"/>
        <v>993.70820666833583</v>
      </c>
      <c r="J559" s="2">
        <f t="shared" si="59"/>
        <v>1112</v>
      </c>
      <c r="K559" s="11">
        <f t="shared" si="60"/>
        <v>1987.4164133366717</v>
      </c>
      <c r="L559" s="2">
        <f t="shared" si="61"/>
        <v>112</v>
      </c>
      <c r="M559" s="2">
        <f t="shared" si="62"/>
        <v>3975.2795877025537</v>
      </c>
      <c r="N559" s="2">
        <f t="shared" si="63"/>
        <v>1794274.4688855929</v>
      </c>
    </row>
    <row r="560" spans="7:14" x14ac:dyDescent="0.25">
      <c r="G560" s="2">
        <v>557</v>
      </c>
      <c r="H560" s="2">
        <f t="shared" si="57"/>
        <v>-993.48074968768265</v>
      </c>
      <c r="I560" s="2">
        <f t="shared" si="58"/>
        <v>993.48074968768265</v>
      </c>
      <c r="J560" s="2">
        <f t="shared" si="59"/>
        <v>1114</v>
      </c>
      <c r="K560" s="11">
        <f t="shared" si="60"/>
        <v>1986.9614993753653</v>
      </c>
      <c r="L560" s="2">
        <f t="shared" si="61"/>
        <v>114</v>
      </c>
      <c r="M560" s="2">
        <f t="shared" si="62"/>
        <v>3974.377912712037</v>
      </c>
      <c r="N560" s="2">
        <f t="shared" si="63"/>
        <v>1798248.8467983049</v>
      </c>
    </row>
    <row r="561" spans="7:14" x14ac:dyDescent="0.25">
      <c r="G561" s="2">
        <v>558</v>
      </c>
      <c r="H561" s="2">
        <f t="shared" si="57"/>
        <v>-993.24921344041343</v>
      </c>
      <c r="I561" s="2">
        <f t="shared" si="58"/>
        <v>993.24921344041343</v>
      </c>
      <c r="J561" s="2">
        <f t="shared" si="59"/>
        <v>1116</v>
      </c>
      <c r="K561" s="11">
        <f t="shared" si="60"/>
        <v>1986.4984268808269</v>
      </c>
      <c r="L561" s="2">
        <f t="shared" si="61"/>
        <v>116</v>
      </c>
      <c r="M561" s="2">
        <f t="shared" si="62"/>
        <v>3973.4599262561924</v>
      </c>
      <c r="N561" s="2">
        <f t="shared" si="63"/>
        <v>1802222.3067245611</v>
      </c>
    </row>
    <row r="562" spans="7:14" x14ac:dyDescent="0.25">
      <c r="G562" s="2">
        <v>559</v>
      </c>
      <c r="H562" s="2">
        <f t="shared" si="57"/>
        <v>-993.01359507309871</v>
      </c>
      <c r="I562" s="2">
        <f t="shared" si="58"/>
        <v>993.01359507309871</v>
      </c>
      <c r="J562" s="2">
        <f t="shared" si="59"/>
        <v>1118</v>
      </c>
      <c r="K562" s="11">
        <f t="shared" si="60"/>
        <v>1986.0271901461974</v>
      </c>
      <c r="L562" s="2">
        <f t="shared" si="61"/>
        <v>118</v>
      </c>
      <c r="M562" s="2">
        <f t="shared" si="62"/>
        <v>3972.5256170270241</v>
      </c>
      <c r="N562" s="2">
        <f t="shared" si="63"/>
        <v>1806194.8323415881</v>
      </c>
    </row>
    <row r="563" spans="7:14" x14ac:dyDescent="0.25">
      <c r="G563" s="2">
        <v>560</v>
      </c>
      <c r="H563" s="2">
        <f t="shared" si="57"/>
        <v>-992.77389167926856</v>
      </c>
      <c r="I563" s="2">
        <f t="shared" si="58"/>
        <v>992.77389167926856</v>
      </c>
      <c r="J563" s="2">
        <f t="shared" si="59"/>
        <v>1120</v>
      </c>
      <c r="K563" s="11">
        <f t="shared" si="60"/>
        <v>1985.5477833585371</v>
      </c>
      <c r="L563" s="2">
        <f t="shared" si="61"/>
        <v>120</v>
      </c>
      <c r="M563" s="2">
        <f t="shared" si="62"/>
        <v>3971.5749735047348</v>
      </c>
      <c r="N563" s="2">
        <f t="shared" si="63"/>
        <v>1810166.4073150929</v>
      </c>
    </row>
    <row r="564" spans="7:14" x14ac:dyDescent="0.25">
      <c r="G564" s="2">
        <v>561</v>
      </c>
      <c r="H564" s="2">
        <f t="shared" si="57"/>
        <v>-992.53010029923018</v>
      </c>
      <c r="I564" s="2">
        <f t="shared" si="58"/>
        <v>992.53010029923018</v>
      </c>
      <c r="J564" s="2">
        <f t="shared" si="59"/>
        <v>1122</v>
      </c>
      <c r="K564" s="11">
        <f t="shared" si="60"/>
        <v>1985.0602005984604</v>
      </c>
      <c r="L564" s="2">
        <f t="shared" si="61"/>
        <v>122</v>
      </c>
      <c r="M564" s="2">
        <f t="shared" si="62"/>
        <v>3970.6079839569975</v>
      </c>
      <c r="N564" s="2">
        <f t="shared" si="63"/>
        <v>1814137.0152990499</v>
      </c>
    </row>
    <row r="565" spans="7:14" x14ac:dyDescent="0.25">
      <c r="G565" s="2">
        <v>562</v>
      </c>
      <c r="H565" s="2">
        <f t="shared" si="57"/>
        <v>-992.28221791988187</v>
      </c>
      <c r="I565" s="2">
        <f t="shared" si="58"/>
        <v>992.28221791988187</v>
      </c>
      <c r="J565" s="2">
        <f t="shared" si="59"/>
        <v>1124</v>
      </c>
      <c r="K565" s="11">
        <f t="shared" si="60"/>
        <v>1984.5644358397637</v>
      </c>
      <c r="L565" s="2">
        <f t="shared" si="61"/>
        <v>124</v>
      </c>
      <c r="M565" s="2">
        <f t="shared" si="62"/>
        <v>3969.6246364382241</v>
      </c>
      <c r="N565" s="2">
        <f t="shared" si="63"/>
        <v>1818106.6399354881</v>
      </c>
    </row>
    <row r="566" spans="7:14" x14ac:dyDescent="0.25">
      <c r="G566" s="2">
        <v>563</v>
      </c>
      <c r="H566" s="2">
        <f t="shared" si="57"/>
        <v>-992.03024147452277</v>
      </c>
      <c r="I566" s="2">
        <f t="shared" si="58"/>
        <v>992.03024147452277</v>
      </c>
      <c r="J566" s="2">
        <f t="shared" si="59"/>
        <v>1126</v>
      </c>
      <c r="K566" s="11">
        <f t="shared" si="60"/>
        <v>1984.0604829490455</v>
      </c>
      <c r="L566" s="2">
        <f t="shared" si="61"/>
        <v>126</v>
      </c>
      <c r="M566" s="2">
        <f t="shared" si="62"/>
        <v>3968.6249187888093</v>
      </c>
      <c r="N566" s="2">
        <f t="shared" si="63"/>
        <v>1822075.264854277</v>
      </c>
    </row>
    <row r="567" spans="7:14" x14ac:dyDescent="0.25">
      <c r="G567" s="2">
        <v>564</v>
      </c>
      <c r="H567" s="2">
        <f t="shared" si="57"/>
        <v>-991.77416784265961</v>
      </c>
      <c r="I567" s="2">
        <f t="shared" si="58"/>
        <v>991.77416784265961</v>
      </c>
      <c r="J567" s="2">
        <f t="shared" si="59"/>
        <v>1128</v>
      </c>
      <c r="K567" s="11">
        <f t="shared" si="60"/>
        <v>1983.5483356853192</v>
      </c>
      <c r="L567" s="2">
        <f t="shared" si="61"/>
        <v>128</v>
      </c>
      <c r="M567" s="2">
        <f t="shared" si="62"/>
        <v>3967.608818634365</v>
      </c>
      <c r="N567" s="2">
        <f t="shared" si="63"/>
        <v>1826042.8736729114</v>
      </c>
    </row>
    <row r="568" spans="7:14" x14ac:dyDescent="0.25">
      <c r="G568" s="2">
        <v>565</v>
      </c>
      <c r="H568" s="2">
        <f t="shared" si="57"/>
        <v>-991.51399384980948</v>
      </c>
      <c r="I568" s="2">
        <f t="shared" si="58"/>
        <v>991.51399384980948</v>
      </c>
      <c r="J568" s="2">
        <f t="shared" si="59"/>
        <v>1130</v>
      </c>
      <c r="K568" s="11">
        <f t="shared" si="60"/>
        <v>1983.027987699619</v>
      </c>
      <c r="L568" s="2">
        <f t="shared" si="61"/>
        <v>130</v>
      </c>
      <c r="M568" s="2">
        <f t="shared" si="62"/>
        <v>3966.5763233849384</v>
      </c>
      <c r="N568" s="2">
        <f t="shared" si="63"/>
        <v>1830009.4499962963</v>
      </c>
    </row>
    <row r="569" spans="7:14" x14ac:dyDescent="0.25">
      <c r="G569" s="2">
        <v>566</v>
      </c>
      <c r="H569" s="2">
        <f t="shared" si="57"/>
        <v>-991.2497162672986</v>
      </c>
      <c r="I569" s="2">
        <f t="shared" si="58"/>
        <v>991.2497162672986</v>
      </c>
      <c r="J569" s="2">
        <f t="shared" si="59"/>
        <v>1132</v>
      </c>
      <c r="K569" s="11">
        <f t="shared" si="60"/>
        <v>1982.4994325345972</v>
      </c>
      <c r="L569" s="2">
        <f t="shared" si="61"/>
        <v>132</v>
      </c>
      <c r="M569" s="2">
        <f t="shared" si="62"/>
        <v>3965.5274202342162</v>
      </c>
      <c r="N569" s="2">
        <f t="shared" si="63"/>
        <v>1833974.9774165305</v>
      </c>
    </row>
    <row r="570" spans="7:14" x14ac:dyDescent="0.25">
      <c r="G570" s="2">
        <v>567</v>
      </c>
      <c r="H570" s="2">
        <f t="shared" si="57"/>
        <v>-990.98133181205787</v>
      </c>
      <c r="I570" s="2">
        <f t="shared" si="58"/>
        <v>990.98133181205787</v>
      </c>
      <c r="J570" s="2">
        <f t="shared" si="59"/>
        <v>1134</v>
      </c>
      <c r="K570" s="11">
        <f t="shared" si="60"/>
        <v>1981.9626636241157</v>
      </c>
      <c r="L570" s="2">
        <f t="shared" si="61"/>
        <v>134</v>
      </c>
      <c r="M570" s="2">
        <f t="shared" si="62"/>
        <v>3964.4620961587129</v>
      </c>
      <c r="N570" s="2">
        <f t="shared" si="63"/>
        <v>1837939.4395126891</v>
      </c>
    </row>
    <row r="571" spans="7:14" x14ac:dyDescent="0.25">
      <c r="G571" s="2">
        <v>568</v>
      </c>
      <c r="H571" s="2">
        <f t="shared" si="57"/>
        <v>-990.70883714641411</v>
      </c>
      <c r="I571" s="2">
        <f t="shared" si="58"/>
        <v>990.70883714641411</v>
      </c>
      <c r="J571" s="2">
        <f t="shared" si="59"/>
        <v>1136</v>
      </c>
      <c r="K571" s="11">
        <f t="shared" si="60"/>
        <v>1981.4176742928282</v>
      </c>
      <c r="L571" s="2">
        <f t="shared" si="61"/>
        <v>136</v>
      </c>
      <c r="M571" s="2">
        <f t="shared" si="62"/>
        <v>3963.380337916944</v>
      </c>
      <c r="N571" s="2">
        <f t="shared" si="63"/>
        <v>1841902.8198506061</v>
      </c>
    </row>
    <row r="572" spans="7:14" x14ac:dyDescent="0.25">
      <c r="G572" s="2">
        <v>569</v>
      </c>
      <c r="H572" s="2">
        <f t="shared" si="57"/>
        <v>-990.43222887787738</v>
      </c>
      <c r="I572" s="2">
        <f t="shared" si="58"/>
        <v>990.43222887787738</v>
      </c>
      <c r="J572" s="2">
        <f t="shared" si="59"/>
        <v>1138</v>
      </c>
      <c r="K572" s="11">
        <f t="shared" si="60"/>
        <v>1980.8644577557548</v>
      </c>
      <c r="L572" s="2">
        <f t="shared" si="61"/>
        <v>138</v>
      </c>
      <c r="M572" s="2">
        <f t="shared" si="62"/>
        <v>3962.2821320485828</v>
      </c>
      <c r="N572" s="2">
        <f t="shared" si="63"/>
        <v>1845865.1019826548</v>
      </c>
    </row>
    <row r="573" spans="7:14" x14ac:dyDescent="0.25">
      <c r="G573" s="2">
        <v>570</v>
      </c>
      <c r="H573" s="2">
        <f t="shared" si="57"/>
        <v>-990.15150355892501</v>
      </c>
      <c r="I573" s="2">
        <f t="shared" si="58"/>
        <v>990.15150355892501</v>
      </c>
      <c r="J573" s="2">
        <f t="shared" si="59"/>
        <v>1140</v>
      </c>
      <c r="K573" s="11">
        <f t="shared" si="60"/>
        <v>1980.30300711785</v>
      </c>
      <c r="L573" s="2">
        <f t="shared" si="61"/>
        <v>140</v>
      </c>
      <c r="M573" s="2">
        <f t="shared" si="62"/>
        <v>3961.1674648736048</v>
      </c>
      <c r="N573" s="2">
        <f t="shared" si="63"/>
        <v>1849826.2694475283</v>
      </c>
    </row>
    <row r="574" spans="7:14" x14ac:dyDescent="0.25">
      <c r="G574" s="2">
        <v>571</v>
      </c>
      <c r="H574" s="2">
        <f t="shared" si="57"/>
        <v>-989.86665768678154</v>
      </c>
      <c r="I574" s="2">
        <f t="shared" si="58"/>
        <v>989.86665768678154</v>
      </c>
      <c r="J574" s="2">
        <f t="shared" si="59"/>
        <v>1142</v>
      </c>
      <c r="K574" s="11">
        <f t="shared" si="60"/>
        <v>1979.7333153735631</v>
      </c>
      <c r="L574" s="2">
        <f t="shared" si="61"/>
        <v>142</v>
      </c>
      <c r="M574" s="2">
        <f t="shared" si="62"/>
        <v>3960.0363224914131</v>
      </c>
      <c r="N574" s="2">
        <f t="shared" si="63"/>
        <v>1853786.3057700198</v>
      </c>
    </row>
    <row r="575" spans="7:14" x14ac:dyDescent="0.25">
      <c r="G575" s="2">
        <v>572</v>
      </c>
      <c r="H575" s="2">
        <f t="shared" si="57"/>
        <v>-989.57768770319387</v>
      </c>
      <c r="I575" s="2">
        <f t="shared" si="58"/>
        <v>989.57768770319387</v>
      </c>
      <c r="J575" s="2">
        <f t="shared" si="59"/>
        <v>1144</v>
      </c>
      <c r="K575" s="11">
        <f t="shared" si="60"/>
        <v>1979.1553754063877</v>
      </c>
      <c r="L575" s="2">
        <f t="shared" si="61"/>
        <v>144</v>
      </c>
      <c r="M575" s="2">
        <f t="shared" si="62"/>
        <v>3958.8886907799506</v>
      </c>
      <c r="N575" s="2">
        <f t="shared" si="63"/>
        <v>1857745.1944607997</v>
      </c>
    </row>
    <row r="576" spans="7:14" x14ac:dyDescent="0.25">
      <c r="G576" s="2">
        <v>573</v>
      </c>
      <c r="H576" s="2">
        <f t="shared" si="57"/>
        <v>-989.28458999420388</v>
      </c>
      <c r="I576" s="2">
        <f t="shared" si="58"/>
        <v>989.28458999420388</v>
      </c>
      <c r="J576" s="2">
        <f t="shared" si="59"/>
        <v>1146</v>
      </c>
      <c r="K576" s="11">
        <f t="shared" si="60"/>
        <v>1978.5691799884078</v>
      </c>
      <c r="L576" s="2">
        <f t="shared" si="61"/>
        <v>146</v>
      </c>
      <c r="M576" s="2">
        <f t="shared" si="62"/>
        <v>3957.7245553947955</v>
      </c>
      <c r="N576" s="2">
        <f t="shared" si="63"/>
        <v>1861702.9190161945</v>
      </c>
    </row>
    <row r="577" spans="7:14" x14ac:dyDescent="0.25">
      <c r="G577" s="2">
        <v>574</v>
      </c>
      <c r="H577" s="2">
        <f t="shared" si="57"/>
        <v>-988.98736088991552</v>
      </c>
      <c r="I577" s="2">
        <f t="shared" si="58"/>
        <v>988.98736088991552</v>
      </c>
      <c r="J577" s="2">
        <f t="shared" si="59"/>
        <v>1148</v>
      </c>
      <c r="K577" s="11">
        <f t="shared" si="60"/>
        <v>1977.974721779831</v>
      </c>
      <c r="L577" s="2">
        <f t="shared" si="61"/>
        <v>148</v>
      </c>
      <c r="M577" s="2">
        <f t="shared" si="62"/>
        <v>3956.5439017682388</v>
      </c>
      <c r="N577" s="2">
        <f t="shared" si="63"/>
        <v>1865659.4629179628</v>
      </c>
    </row>
    <row r="578" spans="7:14" x14ac:dyDescent="0.25">
      <c r="G578" s="2">
        <v>575</v>
      </c>
      <c r="H578" s="2">
        <f t="shared" si="57"/>
        <v>-988.68599666425939</v>
      </c>
      <c r="I578" s="2">
        <f t="shared" si="58"/>
        <v>988.68599666425939</v>
      </c>
      <c r="J578" s="2">
        <f t="shared" si="59"/>
        <v>1150</v>
      </c>
      <c r="K578" s="11">
        <f t="shared" si="60"/>
        <v>1977.3719933285188</v>
      </c>
      <c r="L578" s="2">
        <f t="shared" si="61"/>
        <v>150</v>
      </c>
      <c r="M578" s="2">
        <f t="shared" si="62"/>
        <v>3955.3467151083496</v>
      </c>
      <c r="N578" s="2">
        <f t="shared" si="63"/>
        <v>1869614.8096330711</v>
      </c>
    </row>
    <row r="579" spans="7:14" x14ac:dyDescent="0.25">
      <c r="G579" s="2">
        <v>576</v>
      </c>
      <c r="H579" s="2">
        <f t="shared" ref="H579:H642" si="64">IF(G579&lt;POC_BOD,-1*$K579/2,IF(G579=POC_BOD,0,NA()))</f>
        <v>-988.38049353475208</v>
      </c>
      <c r="I579" s="2">
        <f t="shared" ref="I579:I642" si="65">IF(G579&lt;=POC_BOD,$K579/2,IF(G579=POC_BOD,0,NA()))</f>
        <v>988.38049353475208</v>
      </c>
      <c r="J579" s="2">
        <f t="shared" ref="J579:J642" si="66">IF(G579&lt;=POC_BOD,DN_KRUH/POC_BOD*G579,"")</f>
        <v>1152</v>
      </c>
      <c r="K579" s="11">
        <f t="shared" ref="K579:K642" si="67">IF(G579&lt;POC_BOD,2*POWER(POWER(R_KRUH,2)-POWER(ABS(J579-DN_KRUH/2),2),0.5),IF(G579=POC_BOD,0,""))</f>
        <v>1976.7609870695042</v>
      </c>
      <c r="L579" s="2">
        <f t="shared" ref="L579:L642" si="68">IF(G579&lt;=POC_BOD,ABS(J579-DN_KRUH/2),IF(G579=POC_BOD,0,""))</f>
        <v>152</v>
      </c>
      <c r="M579" s="2">
        <f t="shared" si="62"/>
        <v>3954.1329803980229</v>
      </c>
      <c r="N579" s="2">
        <f t="shared" si="63"/>
        <v>1873568.9426134692</v>
      </c>
    </row>
    <row r="580" spans="7:14" x14ac:dyDescent="0.25">
      <c r="G580" s="2">
        <v>577</v>
      </c>
      <c r="H580" s="2">
        <f t="shared" si="64"/>
        <v>-988.07084766225137</v>
      </c>
      <c r="I580" s="2">
        <f t="shared" si="65"/>
        <v>988.07084766225137</v>
      </c>
      <c r="J580" s="2">
        <f t="shared" si="66"/>
        <v>1154</v>
      </c>
      <c r="K580" s="11">
        <f t="shared" si="67"/>
        <v>1976.1416953245027</v>
      </c>
      <c r="L580" s="2">
        <f t="shared" si="68"/>
        <v>154</v>
      </c>
      <c r="M580" s="2">
        <f t="shared" ref="M580:M643" si="69">IF(G579&lt;=POC_BOD,(K579+K580)/2*(J580-J579),"")</f>
        <v>3952.9026823940067</v>
      </c>
      <c r="N580" s="2">
        <f t="shared" ref="N580:N643" si="70">IF(G579&lt;=POC_BOD,((K579+K580)/2*(J580-J579))+N579,"")</f>
        <v>1877521.8452958632</v>
      </c>
    </row>
    <row r="581" spans="7:14" x14ac:dyDescent="0.25">
      <c r="G581" s="2">
        <v>578</v>
      </c>
      <c r="H581" s="2">
        <f t="shared" si="64"/>
        <v>-987.75705515070865</v>
      </c>
      <c r="I581" s="2">
        <f t="shared" si="65"/>
        <v>987.75705515070865</v>
      </c>
      <c r="J581" s="2">
        <f t="shared" si="66"/>
        <v>1156</v>
      </c>
      <c r="K581" s="11">
        <f t="shared" si="67"/>
        <v>1975.5141103014173</v>
      </c>
      <c r="L581" s="2">
        <f t="shared" si="68"/>
        <v>156</v>
      </c>
      <c r="M581" s="2">
        <f t="shared" si="69"/>
        <v>3951.65580562592</v>
      </c>
      <c r="N581" s="2">
        <f t="shared" si="70"/>
        <v>1881473.5011014892</v>
      </c>
    </row>
    <row r="582" spans="7:14" x14ac:dyDescent="0.25">
      <c r="G582" s="2">
        <v>579</v>
      </c>
      <c r="H582" s="2">
        <f t="shared" si="64"/>
        <v>-987.43911204691506</v>
      </c>
      <c r="I582" s="2">
        <f t="shared" si="65"/>
        <v>987.43911204691506</v>
      </c>
      <c r="J582" s="2">
        <f t="shared" si="66"/>
        <v>1158</v>
      </c>
      <c r="K582" s="11">
        <f t="shared" si="67"/>
        <v>1974.8782240938301</v>
      </c>
      <c r="L582" s="2">
        <f t="shared" si="68"/>
        <v>158</v>
      </c>
      <c r="M582" s="2">
        <f t="shared" si="69"/>
        <v>3950.3923343952474</v>
      </c>
      <c r="N582" s="2">
        <f t="shared" si="70"/>
        <v>1885423.8934358845</v>
      </c>
    </row>
    <row r="583" spans="7:14" x14ac:dyDescent="0.25">
      <c r="G583" s="2">
        <v>580</v>
      </c>
      <c r="H583" s="2">
        <f t="shared" si="64"/>
        <v>-987.1170143402453</v>
      </c>
      <c r="I583" s="2">
        <f t="shared" si="65"/>
        <v>987.1170143402453</v>
      </c>
      <c r="J583" s="2">
        <f t="shared" si="66"/>
        <v>1160</v>
      </c>
      <c r="K583" s="11">
        <f t="shared" si="67"/>
        <v>1974.2340286804906</v>
      </c>
      <c r="L583" s="2">
        <f t="shared" si="68"/>
        <v>160</v>
      </c>
      <c r="M583" s="2">
        <f t="shared" si="69"/>
        <v>3949.112252774321</v>
      </c>
      <c r="N583" s="2">
        <f t="shared" si="70"/>
        <v>1889373.0056886589</v>
      </c>
    </row>
    <row r="584" spans="7:14" x14ac:dyDescent="0.25">
      <c r="G584" s="2">
        <v>581</v>
      </c>
      <c r="H584" s="2">
        <f t="shared" si="64"/>
        <v>-986.79075796239601</v>
      </c>
      <c r="I584" s="2">
        <f t="shared" si="65"/>
        <v>986.79075796239601</v>
      </c>
      <c r="J584" s="2">
        <f t="shared" si="66"/>
        <v>1162</v>
      </c>
      <c r="K584" s="11">
        <f t="shared" si="67"/>
        <v>1973.581515924792</v>
      </c>
      <c r="L584" s="2">
        <f t="shared" si="68"/>
        <v>162</v>
      </c>
      <c r="M584" s="2">
        <f t="shared" si="69"/>
        <v>3947.8155446052824</v>
      </c>
      <c r="N584" s="2">
        <f t="shared" si="70"/>
        <v>1893320.8212332642</v>
      </c>
    </row>
    <row r="585" spans="7:14" x14ac:dyDescent="0.25">
      <c r="G585" s="2">
        <v>582</v>
      </c>
      <c r="H585" s="2">
        <f t="shared" si="64"/>
        <v>-986.46033878712024</v>
      </c>
      <c r="I585" s="2">
        <f t="shared" si="65"/>
        <v>986.46033878712024</v>
      </c>
      <c r="J585" s="2">
        <f t="shared" si="66"/>
        <v>1164</v>
      </c>
      <c r="K585" s="11">
        <f t="shared" si="67"/>
        <v>1972.9206775742405</v>
      </c>
      <c r="L585" s="2">
        <f t="shared" si="68"/>
        <v>164</v>
      </c>
      <c r="M585" s="2">
        <f t="shared" si="69"/>
        <v>3946.5021934990327</v>
      </c>
      <c r="N585" s="2">
        <f t="shared" si="70"/>
        <v>1897267.3234267633</v>
      </c>
    </row>
    <row r="586" spans="7:14" x14ac:dyDescent="0.25">
      <c r="G586" s="2">
        <v>583</v>
      </c>
      <c r="H586" s="2">
        <f t="shared" si="64"/>
        <v>-986.12575262995745</v>
      </c>
      <c r="I586" s="2">
        <f t="shared" si="65"/>
        <v>986.12575262995745</v>
      </c>
      <c r="J586" s="2">
        <f t="shared" si="66"/>
        <v>1166</v>
      </c>
      <c r="K586" s="11">
        <f t="shared" si="67"/>
        <v>1972.2515052599149</v>
      </c>
      <c r="L586" s="2">
        <f t="shared" si="68"/>
        <v>166</v>
      </c>
      <c r="M586" s="2">
        <f t="shared" si="69"/>
        <v>3945.1721828341551</v>
      </c>
      <c r="N586" s="2">
        <f t="shared" si="70"/>
        <v>1901212.4956095975</v>
      </c>
    </row>
    <row r="587" spans="7:14" x14ac:dyDescent="0.25">
      <c r="G587" s="2">
        <v>584</v>
      </c>
      <c r="H587" s="2">
        <f t="shared" si="64"/>
        <v>-985.78699524795923</v>
      </c>
      <c r="I587" s="2">
        <f t="shared" si="65"/>
        <v>985.78699524795923</v>
      </c>
      <c r="J587" s="2">
        <f t="shared" si="66"/>
        <v>1168</v>
      </c>
      <c r="K587" s="11">
        <f t="shared" si="67"/>
        <v>1971.5739904959185</v>
      </c>
      <c r="L587" s="2">
        <f t="shared" si="68"/>
        <v>168</v>
      </c>
      <c r="M587" s="2">
        <f t="shared" si="69"/>
        <v>3943.8254957558333</v>
      </c>
      <c r="N587" s="2">
        <f t="shared" si="70"/>
        <v>1905156.3211053533</v>
      </c>
    </row>
    <row r="588" spans="7:14" x14ac:dyDescent="0.25">
      <c r="G588" s="2">
        <v>585</v>
      </c>
      <c r="H588" s="2">
        <f t="shared" si="64"/>
        <v>-985.44406233941049</v>
      </c>
      <c r="I588" s="2">
        <f t="shared" si="65"/>
        <v>985.44406233941049</v>
      </c>
      <c r="J588" s="2">
        <f t="shared" si="66"/>
        <v>1170</v>
      </c>
      <c r="K588" s="11">
        <f t="shared" si="67"/>
        <v>1970.888124678821</v>
      </c>
      <c r="L588" s="2">
        <f t="shared" si="68"/>
        <v>170</v>
      </c>
      <c r="M588" s="2">
        <f t="shared" si="69"/>
        <v>3942.4621151747397</v>
      </c>
      <c r="N588" s="2">
        <f t="shared" si="70"/>
        <v>1909098.7832205279</v>
      </c>
    </row>
    <row r="589" spans="7:14" x14ac:dyDescent="0.25">
      <c r="G589" s="2">
        <v>586</v>
      </c>
      <c r="H589" s="2">
        <f t="shared" si="64"/>
        <v>-985.0969495435462</v>
      </c>
      <c r="I589" s="2">
        <f t="shared" si="65"/>
        <v>985.0969495435462</v>
      </c>
      <c r="J589" s="2">
        <f t="shared" si="66"/>
        <v>1172</v>
      </c>
      <c r="K589" s="11">
        <f t="shared" si="67"/>
        <v>1970.1938990870924</v>
      </c>
      <c r="L589" s="2">
        <f t="shared" si="68"/>
        <v>172</v>
      </c>
      <c r="M589" s="2">
        <f t="shared" si="69"/>
        <v>3941.0820237659136</v>
      </c>
      <c r="N589" s="2">
        <f t="shared" si="70"/>
        <v>1913039.8652442938</v>
      </c>
    </row>
    <row r="590" spans="7:14" x14ac:dyDescent="0.25">
      <c r="G590" s="2">
        <v>587</v>
      </c>
      <c r="H590" s="2">
        <f t="shared" si="64"/>
        <v>-984.74565244026337</v>
      </c>
      <c r="I590" s="2">
        <f t="shared" si="65"/>
        <v>984.74565244026337</v>
      </c>
      <c r="J590" s="2">
        <f t="shared" si="66"/>
        <v>1174</v>
      </c>
      <c r="K590" s="11">
        <f t="shared" si="67"/>
        <v>1969.4913048805267</v>
      </c>
      <c r="L590" s="2">
        <f t="shared" si="68"/>
        <v>174</v>
      </c>
      <c r="M590" s="2">
        <f t="shared" si="69"/>
        <v>3939.6852039676191</v>
      </c>
      <c r="N590" s="2">
        <f t="shared" si="70"/>
        <v>1916979.5504482614</v>
      </c>
    </row>
    <row r="591" spans="7:14" x14ac:dyDescent="0.25">
      <c r="G591" s="2">
        <v>588</v>
      </c>
      <c r="H591" s="2">
        <f t="shared" si="64"/>
        <v>-984.3901665498289</v>
      </c>
      <c r="I591" s="2">
        <f t="shared" si="65"/>
        <v>984.3901665498289</v>
      </c>
      <c r="J591" s="2">
        <f t="shared" si="66"/>
        <v>1176</v>
      </c>
      <c r="K591" s="11">
        <f t="shared" si="67"/>
        <v>1968.7803330996578</v>
      </c>
      <c r="L591" s="2">
        <f t="shared" si="68"/>
        <v>176</v>
      </c>
      <c r="M591" s="2">
        <f t="shared" si="69"/>
        <v>3938.2716379801846</v>
      </c>
      <c r="N591" s="2">
        <f t="shared" si="70"/>
        <v>1920917.8220862416</v>
      </c>
    </row>
    <row r="592" spans="7:14" x14ac:dyDescent="0.25">
      <c r="G592" s="2">
        <v>589</v>
      </c>
      <c r="H592" s="2">
        <f t="shared" si="64"/>
        <v>-984.03048733258265</v>
      </c>
      <c r="I592" s="2">
        <f t="shared" si="65"/>
        <v>984.03048733258265</v>
      </c>
      <c r="J592" s="2">
        <f t="shared" si="66"/>
        <v>1178</v>
      </c>
      <c r="K592" s="11">
        <f t="shared" si="67"/>
        <v>1968.0609746651653</v>
      </c>
      <c r="L592" s="2">
        <f t="shared" si="68"/>
        <v>178</v>
      </c>
      <c r="M592" s="2">
        <f t="shared" si="69"/>
        <v>3936.8413077648229</v>
      </c>
      <c r="N592" s="2">
        <f t="shared" si="70"/>
        <v>1924854.6633940064</v>
      </c>
    </row>
    <row r="593" spans="7:14" x14ac:dyDescent="0.25">
      <c r="G593" s="2">
        <v>590</v>
      </c>
      <c r="H593" s="2">
        <f t="shared" si="64"/>
        <v>-983.66661018863499</v>
      </c>
      <c r="I593" s="2">
        <f t="shared" si="65"/>
        <v>983.66661018863499</v>
      </c>
      <c r="J593" s="2">
        <f t="shared" si="66"/>
        <v>1180</v>
      </c>
      <c r="K593" s="11">
        <f t="shared" si="67"/>
        <v>1967.33322037727</v>
      </c>
      <c r="L593" s="2">
        <f t="shared" si="68"/>
        <v>180</v>
      </c>
      <c r="M593" s="2">
        <f t="shared" si="69"/>
        <v>3935.3941950424351</v>
      </c>
      <c r="N593" s="2">
        <f t="shared" si="70"/>
        <v>1928790.057589049</v>
      </c>
    </row>
    <row r="594" spans="7:14" x14ac:dyDescent="0.25">
      <c r="G594" s="2">
        <v>591</v>
      </c>
      <c r="H594" s="2">
        <f t="shared" si="64"/>
        <v>-983.29853045756147</v>
      </c>
      <c r="I594" s="2">
        <f t="shared" si="65"/>
        <v>983.29853045756147</v>
      </c>
      <c r="J594" s="2">
        <f t="shared" si="66"/>
        <v>1182</v>
      </c>
      <c r="K594" s="11">
        <f t="shared" si="67"/>
        <v>1966.5970609151229</v>
      </c>
      <c r="L594" s="2">
        <f t="shared" si="68"/>
        <v>182</v>
      </c>
      <c r="M594" s="2">
        <f t="shared" si="69"/>
        <v>3933.9302812923929</v>
      </c>
      <c r="N594" s="2">
        <f t="shared" si="70"/>
        <v>1932723.9878703414</v>
      </c>
    </row>
    <row r="595" spans="7:14" x14ac:dyDescent="0.25">
      <c r="G595" s="2">
        <v>592</v>
      </c>
      <c r="H595" s="2">
        <f t="shared" si="64"/>
        <v>-982.92624341809085</v>
      </c>
      <c r="I595" s="2">
        <f t="shared" si="65"/>
        <v>982.92624341809085</v>
      </c>
      <c r="J595" s="2">
        <f t="shared" si="66"/>
        <v>1184</v>
      </c>
      <c r="K595" s="11">
        <f t="shared" si="67"/>
        <v>1965.8524868361817</v>
      </c>
      <c r="L595" s="2">
        <f t="shared" si="68"/>
        <v>184</v>
      </c>
      <c r="M595" s="2">
        <f t="shared" si="69"/>
        <v>3932.4495477513046</v>
      </c>
      <c r="N595" s="2">
        <f t="shared" si="70"/>
        <v>1936656.4374180927</v>
      </c>
    </row>
    <row r="596" spans="7:14" x14ac:dyDescent="0.25">
      <c r="G596" s="2">
        <v>593</v>
      </c>
      <c r="H596" s="2">
        <f t="shared" si="64"/>
        <v>-982.54974428778928</v>
      </c>
      <c r="I596" s="2">
        <f t="shared" si="65"/>
        <v>982.54974428778928</v>
      </c>
      <c r="J596" s="2">
        <f t="shared" si="66"/>
        <v>1186</v>
      </c>
      <c r="K596" s="11">
        <f t="shared" si="67"/>
        <v>1965.0994885755786</v>
      </c>
      <c r="L596" s="2">
        <f t="shared" si="68"/>
        <v>186</v>
      </c>
      <c r="M596" s="2">
        <f t="shared" si="69"/>
        <v>3930.95197541176</v>
      </c>
      <c r="N596" s="2">
        <f t="shared" si="70"/>
        <v>1940587.3893935045</v>
      </c>
    </row>
    <row r="597" spans="7:14" x14ac:dyDescent="0.25">
      <c r="G597" s="2">
        <v>594</v>
      </c>
      <c r="H597" s="2">
        <f t="shared" si="64"/>
        <v>-982.16902822273926</v>
      </c>
      <c r="I597" s="2">
        <f t="shared" si="65"/>
        <v>982.16902822273926</v>
      </c>
      <c r="J597" s="2">
        <f t="shared" si="66"/>
        <v>1188</v>
      </c>
      <c r="K597" s="11">
        <f t="shared" si="67"/>
        <v>1964.3380564454785</v>
      </c>
      <c r="L597" s="2">
        <f t="shared" si="68"/>
        <v>188</v>
      </c>
      <c r="M597" s="2">
        <f t="shared" si="69"/>
        <v>3929.4375450210573</v>
      </c>
      <c r="N597" s="2">
        <f t="shared" si="70"/>
        <v>1944516.8269385255</v>
      </c>
    </row>
    <row r="598" spans="7:14" x14ac:dyDescent="0.25">
      <c r="G598" s="2">
        <v>595</v>
      </c>
      <c r="H598" s="2">
        <f t="shared" si="64"/>
        <v>-981.78409031721435</v>
      </c>
      <c r="I598" s="2">
        <f t="shared" si="65"/>
        <v>981.78409031721435</v>
      </c>
      <c r="J598" s="2">
        <f t="shared" si="66"/>
        <v>1190</v>
      </c>
      <c r="K598" s="11">
        <f t="shared" si="67"/>
        <v>1963.5681806344287</v>
      </c>
      <c r="L598" s="2">
        <f t="shared" si="68"/>
        <v>190</v>
      </c>
      <c r="M598" s="2">
        <f t="shared" si="69"/>
        <v>3927.9062370799074</v>
      </c>
      <c r="N598" s="2">
        <f t="shared" si="70"/>
        <v>1948444.7331756055</v>
      </c>
    </row>
    <row r="599" spans="7:14" x14ac:dyDescent="0.25">
      <c r="G599" s="2">
        <v>596</v>
      </c>
      <c r="H599" s="2">
        <f t="shared" si="64"/>
        <v>-981.39492560334747</v>
      </c>
      <c r="I599" s="2">
        <f t="shared" si="65"/>
        <v>981.39492560334747</v>
      </c>
      <c r="J599" s="2">
        <f t="shared" si="66"/>
        <v>1192</v>
      </c>
      <c r="K599" s="11">
        <f t="shared" si="67"/>
        <v>1962.7898512066949</v>
      </c>
      <c r="L599" s="2">
        <f t="shared" si="68"/>
        <v>192</v>
      </c>
      <c r="M599" s="2">
        <f t="shared" si="69"/>
        <v>3926.3580318411236</v>
      </c>
      <c r="N599" s="2">
        <f t="shared" si="70"/>
        <v>1952371.0912074468</v>
      </c>
    </row>
    <row r="600" spans="7:14" x14ac:dyDescent="0.25">
      <c r="G600" s="2">
        <v>597</v>
      </c>
      <c r="H600" s="2">
        <f t="shared" si="64"/>
        <v>-981.00152905079608</v>
      </c>
      <c r="I600" s="2">
        <f t="shared" si="65"/>
        <v>981.00152905079608</v>
      </c>
      <c r="J600" s="2">
        <f t="shared" si="66"/>
        <v>1194</v>
      </c>
      <c r="K600" s="11">
        <f t="shared" si="67"/>
        <v>1962.0030581015922</v>
      </c>
      <c r="L600" s="2">
        <f t="shared" si="68"/>
        <v>194</v>
      </c>
      <c r="M600" s="2">
        <f t="shared" si="69"/>
        <v>3924.7929093082871</v>
      </c>
      <c r="N600" s="2">
        <f t="shared" si="70"/>
        <v>1956295.8841167551</v>
      </c>
    </row>
    <row r="601" spans="7:14" x14ac:dyDescent="0.25">
      <c r="G601" s="2">
        <v>598</v>
      </c>
      <c r="H601" s="2">
        <f t="shared" si="64"/>
        <v>-980.60389556640041</v>
      </c>
      <c r="I601" s="2">
        <f t="shared" si="65"/>
        <v>980.60389556640041</v>
      </c>
      <c r="J601" s="2">
        <f t="shared" si="66"/>
        <v>1196</v>
      </c>
      <c r="K601" s="11">
        <f t="shared" si="67"/>
        <v>1961.2077911328008</v>
      </c>
      <c r="L601" s="2">
        <f t="shared" si="68"/>
        <v>196</v>
      </c>
      <c r="M601" s="2">
        <f t="shared" si="69"/>
        <v>3923.2108492343932</v>
      </c>
      <c r="N601" s="2">
        <f t="shared" si="70"/>
        <v>1960219.0949659895</v>
      </c>
    </row>
    <row r="602" spans="7:14" x14ac:dyDescent="0.25">
      <c r="G602" s="2">
        <v>599</v>
      </c>
      <c r="H602" s="2">
        <f t="shared" si="64"/>
        <v>-980.20201999383778</v>
      </c>
      <c r="I602" s="2">
        <f t="shared" si="65"/>
        <v>980.20201999383778</v>
      </c>
      <c r="J602" s="2">
        <f t="shared" si="66"/>
        <v>1198</v>
      </c>
      <c r="K602" s="11">
        <f t="shared" si="67"/>
        <v>1960.4040399876756</v>
      </c>
      <c r="L602" s="2">
        <f t="shared" si="68"/>
        <v>198</v>
      </c>
      <c r="M602" s="2">
        <f t="shared" si="69"/>
        <v>3921.6118311204764</v>
      </c>
      <c r="N602" s="2">
        <f t="shared" si="70"/>
        <v>1964140.7067971099</v>
      </c>
    </row>
    <row r="603" spans="7:14" x14ac:dyDescent="0.25">
      <c r="G603" s="2">
        <v>600</v>
      </c>
      <c r="H603" s="2">
        <f t="shared" si="64"/>
        <v>-979.79589711327128</v>
      </c>
      <c r="I603" s="2">
        <f t="shared" si="65"/>
        <v>979.79589711327128</v>
      </c>
      <c r="J603" s="2">
        <f t="shared" si="66"/>
        <v>1200</v>
      </c>
      <c r="K603" s="11">
        <f t="shared" si="67"/>
        <v>1959.5917942265426</v>
      </c>
      <c r="L603" s="2">
        <f t="shared" si="68"/>
        <v>200</v>
      </c>
      <c r="M603" s="2">
        <f t="shared" si="69"/>
        <v>3919.9958342142181</v>
      </c>
      <c r="N603" s="2">
        <f t="shared" si="70"/>
        <v>1968060.7026313241</v>
      </c>
    </row>
    <row r="604" spans="7:14" x14ac:dyDescent="0.25">
      <c r="G604" s="2">
        <v>601</v>
      </c>
      <c r="H604" s="2">
        <f t="shared" si="64"/>
        <v>-979.38552164099303</v>
      </c>
      <c r="I604" s="2">
        <f t="shared" si="65"/>
        <v>979.38552164099303</v>
      </c>
      <c r="J604" s="2">
        <f t="shared" si="66"/>
        <v>1202</v>
      </c>
      <c r="K604" s="11">
        <f t="shared" si="67"/>
        <v>1958.7710432819861</v>
      </c>
      <c r="L604" s="2">
        <f t="shared" si="68"/>
        <v>202</v>
      </c>
      <c r="M604" s="2">
        <f t="shared" si="69"/>
        <v>3918.3628375085286</v>
      </c>
      <c r="N604" s="2">
        <f t="shared" si="70"/>
        <v>1971979.0654688326</v>
      </c>
    </row>
    <row r="605" spans="7:14" x14ac:dyDescent="0.25">
      <c r="G605" s="2">
        <v>602</v>
      </c>
      <c r="H605" s="2">
        <f t="shared" si="64"/>
        <v>-978.97088822906267</v>
      </c>
      <c r="I605" s="2">
        <f t="shared" si="65"/>
        <v>978.97088822906267</v>
      </c>
      <c r="J605" s="2">
        <f t="shared" si="66"/>
        <v>1204</v>
      </c>
      <c r="K605" s="11">
        <f t="shared" si="67"/>
        <v>1957.9417764581253</v>
      </c>
      <c r="L605" s="2">
        <f t="shared" si="68"/>
        <v>204</v>
      </c>
      <c r="M605" s="2">
        <f t="shared" si="69"/>
        <v>3916.7128197401116</v>
      </c>
      <c r="N605" s="2">
        <f t="shared" si="70"/>
        <v>1975895.7782885728</v>
      </c>
    </row>
    <row r="606" spans="7:14" x14ac:dyDescent="0.25">
      <c r="G606" s="2">
        <v>603</v>
      </c>
      <c r="H606" s="2">
        <f t="shared" si="64"/>
        <v>-978.55199146493999</v>
      </c>
      <c r="I606" s="2">
        <f t="shared" si="65"/>
        <v>978.55199146493999</v>
      </c>
      <c r="J606" s="2">
        <f t="shared" si="66"/>
        <v>1206</v>
      </c>
      <c r="K606" s="11">
        <f t="shared" si="67"/>
        <v>1957.10398292988</v>
      </c>
      <c r="L606" s="2">
        <f t="shared" si="68"/>
        <v>206</v>
      </c>
      <c r="M606" s="2">
        <f t="shared" si="69"/>
        <v>3915.0457593880055</v>
      </c>
      <c r="N606" s="2">
        <f t="shared" si="70"/>
        <v>1979810.8240479608</v>
      </c>
    </row>
    <row r="607" spans="7:14" x14ac:dyDescent="0.25">
      <c r="G607" s="2">
        <v>604</v>
      </c>
      <c r="H607" s="2">
        <f t="shared" si="64"/>
        <v>-978.12882587111199</v>
      </c>
      <c r="I607" s="2">
        <f t="shared" si="65"/>
        <v>978.12882587111199</v>
      </c>
      <c r="J607" s="2">
        <f t="shared" si="66"/>
        <v>1208</v>
      </c>
      <c r="K607" s="11">
        <f t="shared" si="67"/>
        <v>1956.257651742224</v>
      </c>
      <c r="L607" s="2">
        <f t="shared" si="68"/>
        <v>208</v>
      </c>
      <c r="M607" s="2">
        <f t="shared" si="69"/>
        <v>3913.3616346721037</v>
      </c>
      <c r="N607" s="2">
        <f t="shared" si="70"/>
        <v>1983724.185682633</v>
      </c>
    </row>
    <row r="608" spans="7:14" x14ac:dyDescent="0.25">
      <c r="G608" s="2">
        <v>605</v>
      </c>
      <c r="H608" s="2">
        <f t="shared" si="64"/>
        <v>-977.70138590471481</v>
      </c>
      <c r="I608" s="2">
        <f t="shared" si="65"/>
        <v>977.70138590471481</v>
      </c>
      <c r="J608" s="2">
        <f t="shared" si="66"/>
        <v>1210</v>
      </c>
      <c r="K608" s="11">
        <f t="shared" si="67"/>
        <v>1955.4027718094296</v>
      </c>
      <c r="L608" s="2">
        <f t="shared" si="68"/>
        <v>210</v>
      </c>
      <c r="M608" s="2">
        <f t="shared" si="69"/>
        <v>3911.6604235516534</v>
      </c>
      <c r="N608" s="2">
        <f t="shared" si="70"/>
        <v>1987635.8461061846</v>
      </c>
    </row>
    <row r="609" spans="7:14" x14ac:dyDescent="0.25">
      <c r="G609" s="2">
        <v>606</v>
      </c>
      <c r="H609" s="2">
        <f t="shared" si="64"/>
        <v>-977.26966595715021</v>
      </c>
      <c r="I609" s="2">
        <f t="shared" si="65"/>
        <v>977.26966595715021</v>
      </c>
      <c r="J609" s="2">
        <f t="shared" si="66"/>
        <v>1212</v>
      </c>
      <c r="K609" s="11">
        <f t="shared" si="67"/>
        <v>1954.5393319143004</v>
      </c>
      <c r="L609" s="2">
        <f t="shared" si="68"/>
        <v>212</v>
      </c>
      <c r="M609" s="2">
        <f t="shared" si="69"/>
        <v>3909.9421037237298</v>
      </c>
      <c r="N609" s="2">
        <f t="shared" si="70"/>
        <v>1991545.7882099084</v>
      </c>
    </row>
    <row r="610" spans="7:14" x14ac:dyDescent="0.25">
      <c r="G610" s="2">
        <v>607</v>
      </c>
      <c r="H610" s="2">
        <f t="shared" si="64"/>
        <v>-976.83366035369602</v>
      </c>
      <c r="I610" s="2">
        <f t="shared" si="65"/>
        <v>976.83366035369602</v>
      </c>
      <c r="J610" s="2">
        <f t="shared" si="66"/>
        <v>1214</v>
      </c>
      <c r="K610" s="11">
        <f t="shared" si="67"/>
        <v>1953.667320707392</v>
      </c>
      <c r="L610" s="2">
        <f t="shared" si="68"/>
        <v>214</v>
      </c>
      <c r="M610" s="2">
        <f t="shared" si="69"/>
        <v>3908.2066526216922</v>
      </c>
      <c r="N610" s="2">
        <f t="shared" si="70"/>
        <v>1995453.9948625301</v>
      </c>
    </row>
    <row r="611" spans="7:14" x14ac:dyDescent="0.25">
      <c r="G611" s="2">
        <v>608</v>
      </c>
      <c r="H611" s="2">
        <f t="shared" si="64"/>
        <v>-976.39336335311089</v>
      </c>
      <c r="I611" s="2">
        <f t="shared" si="65"/>
        <v>976.39336335311089</v>
      </c>
      <c r="J611" s="2">
        <f t="shared" si="66"/>
        <v>1216</v>
      </c>
      <c r="K611" s="11">
        <f t="shared" si="67"/>
        <v>1952.7867267062218</v>
      </c>
      <c r="L611" s="2">
        <f t="shared" si="68"/>
        <v>216</v>
      </c>
      <c r="M611" s="2">
        <f t="shared" si="69"/>
        <v>3906.4540474136138</v>
      </c>
      <c r="N611" s="2">
        <f t="shared" si="70"/>
        <v>1999360.4489099437</v>
      </c>
    </row>
    <row r="612" spans="7:14" x14ac:dyDescent="0.25">
      <c r="G612" s="2">
        <v>609</v>
      </c>
      <c r="H612" s="2">
        <f t="shared" si="64"/>
        <v>-975.94876914723352</v>
      </c>
      <c r="I612" s="2">
        <f t="shared" si="65"/>
        <v>975.94876914723352</v>
      </c>
      <c r="J612" s="2">
        <f t="shared" si="66"/>
        <v>1218</v>
      </c>
      <c r="K612" s="11">
        <f t="shared" si="67"/>
        <v>1951.897538294467</v>
      </c>
      <c r="L612" s="2">
        <f t="shared" si="68"/>
        <v>218</v>
      </c>
      <c r="M612" s="2">
        <f t="shared" si="69"/>
        <v>3904.6842650006888</v>
      </c>
      <c r="N612" s="2">
        <f t="shared" si="70"/>
        <v>2003265.1331749444</v>
      </c>
    </row>
    <row r="613" spans="7:14" x14ac:dyDescent="0.25">
      <c r="G613" s="2">
        <v>610</v>
      </c>
      <c r="H613" s="2">
        <f t="shared" si="64"/>
        <v>-975.49987186057592</v>
      </c>
      <c r="I613" s="2">
        <f t="shared" si="65"/>
        <v>975.49987186057592</v>
      </c>
      <c r="J613" s="2">
        <f t="shared" si="66"/>
        <v>1220</v>
      </c>
      <c r="K613" s="11">
        <f t="shared" si="67"/>
        <v>1950.9997437211518</v>
      </c>
      <c r="L613" s="2">
        <f t="shared" si="68"/>
        <v>220</v>
      </c>
      <c r="M613" s="2">
        <f t="shared" si="69"/>
        <v>3902.8972820156187</v>
      </c>
      <c r="N613" s="2">
        <f t="shared" si="70"/>
        <v>2007168.03045696</v>
      </c>
    </row>
    <row r="614" spans="7:14" x14ac:dyDescent="0.25">
      <c r="G614" s="2">
        <v>611</v>
      </c>
      <c r="H614" s="2">
        <f t="shared" si="64"/>
        <v>-975.04666554991104</v>
      </c>
      <c r="I614" s="2">
        <f t="shared" si="65"/>
        <v>975.04666554991104</v>
      </c>
      <c r="J614" s="2">
        <f t="shared" si="66"/>
        <v>1222</v>
      </c>
      <c r="K614" s="11">
        <f t="shared" si="67"/>
        <v>1950.0933310998221</v>
      </c>
      <c r="L614" s="2">
        <f t="shared" si="68"/>
        <v>222</v>
      </c>
      <c r="M614" s="2">
        <f t="shared" si="69"/>
        <v>3901.0930748209739</v>
      </c>
      <c r="N614" s="2">
        <f t="shared" si="70"/>
        <v>2011069.1235317809</v>
      </c>
    </row>
    <row r="615" spans="7:14" x14ac:dyDescent="0.25">
      <c r="G615" s="2">
        <v>612</v>
      </c>
      <c r="H615" s="2">
        <f t="shared" si="64"/>
        <v>-974.58914420385372</v>
      </c>
      <c r="I615" s="2">
        <f t="shared" si="65"/>
        <v>974.58914420385372</v>
      </c>
      <c r="J615" s="2">
        <f t="shared" si="66"/>
        <v>1224</v>
      </c>
      <c r="K615" s="11">
        <f t="shared" si="67"/>
        <v>1949.1782884077074</v>
      </c>
      <c r="L615" s="2">
        <f t="shared" si="68"/>
        <v>224</v>
      </c>
      <c r="M615" s="2">
        <f t="shared" si="69"/>
        <v>3899.2716195075295</v>
      </c>
      <c r="N615" s="2">
        <f t="shared" si="70"/>
        <v>2014968.3951512885</v>
      </c>
    </row>
    <row r="616" spans="7:14" x14ac:dyDescent="0.25">
      <c r="G616" s="2">
        <v>613</v>
      </c>
      <c r="H616" s="2">
        <f t="shared" si="64"/>
        <v>-974.12730174243654</v>
      </c>
      <c r="I616" s="2">
        <f t="shared" si="65"/>
        <v>974.12730174243654</v>
      </c>
      <c r="J616" s="2">
        <f t="shared" si="66"/>
        <v>1226</v>
      </c>
      <c r="K616" s="11">
        <f t="shared" si="67"/>
        <v>1948.2546034848731</v>
      </c>
      <c r="L616" s="2">
        <f t="shared" si="68"/>
        <v>226</v>
      </c>
      <c r="M616" s="2">
        <f t="shared" si="69"/>
        <v>3897.4328918925803</v>
      </c>
      <c r="N616" s="2">
        <f t="shared" si="70"/>
        <v>2018865.828043181</v>
      </c>
    </row>
    <row r="617" spans="7:14" x14ac:dyDescent="0.25">
      <c r="G617" s="2">
        <v>614</v>
      </c>
      <c r="H617" s="2">
        <f t="shared" si="64"/>
        <v>-973.66113201667861</v>
      </c>
      <c r="I617" s="2">
        <f t="shared" si="65"/>
        <v>973.66113201667861</v>
      </c>
      <c r="J617" s="2">
        <f t="shared" si="66"/>
        <v>1228</v>
      </c>
      <c r="K617" s="11">
        <f t="shared" si="67"/>
        <v>1947.3222640333572</v>
      </c>
      <c r="L617" s="2">
        <f t="shared" si="68"/>
        <v>228</v>
      </c>
      <c r="M617" s="2">
        <f t="shared" si="69"/>
        <v>3895.5768675182303</v>
      </c>
      <c r="N617" s="2">
        <f t="shared" si="70"/>
        <v>2022761.4049106992</v>
      </c>
    </row>
    <row r="618" spans="7:14" x14ac:dyDescent="0.25">
      <c r="G618" s="2">
        <v>615</v>
      </c>
      <c r="H618" s="2">
        <f t="shared" si="64"/>
        <v>-973.19062880814874</v>
      </c>
      <c r="I618" s="2">
        <f t="shared" si="65"/>
        <v>973.19062880814874</v>
      </c>
      <c r="J618" s="2">
        <f t="shared" si="66"/>
        <v>1230</v>
      </c>
      <c r="K618" s="11">
        <f t="shared" si="67"/>
        <v>1946.3812576162975</v>
      </c>
      <c r="L618" s="2">
        <f t="shared" si="68"/>
        <v>230</v>
      </c>
      <c r="M618" s="2">
        <f t="shared" si="69"/>
        <v>3893.7035216496547</v>
      </c>
      <c r="N618" s="2">
        <f t="shared" si="70"/>
        <v>2026655.1084323488</v>
      </c>
    </row>
    <row r="619" spans="7:14" x14ac:dyDescent="0.25">
      <c r="G619" s="2">
        <v>616</v>
      </c>
      <c r="H619" s="2">
        <f t="shared" si="64"/>
        <v>-972.71578582852248</v>
      </c>
      <c r="I619" s="2">
        <f t="shared" si="65"/>
        <v>972.71578582852248</v>
      </c>
      <c r="J619" s="2">
        <f t="shared" si="66"/>
        <v>1232</v>
      </c>
      <c r="K619" s="11">
        <f t="shared" si="67"/>
        <v>1945.431571657045</v>
      </c>
      <c r="L619" s="2">
        <f t="shared" si="68"/>
        <v>232</v>
      </c>
      <c r="M619" s="2">
        <f t="shared" si="69"/>
        <v>3891.8128292733427</v>
      </c>
      <c r="N619" s="2">
        <f t="shared" si="70"/>
        <v>2030546.9212616221</v>
      </c>
    </row>
    <row r="620" spans="7:14" x14ac:dyDescent="0.25">
      <c r="G620" s="2">
        <v>617</v>
      </c>
      <c r="H620" s="2">
        <f t="shared" si="64"/>
        <v>-972.23659671913197</v>
      </c>
      <c r="I620" s="2">
        <f t="shared" si="65"/>
        <v>972.23659671913197</v>
      </c>
      <c r="J620" s="2">
        <f t="shared" si="66"/>
        <v>1234</v>
      </c>
      <c r="K620" s="11">
        <f t="shared" si="67"/>
        <v>1944.4731934382639</v>
      </c>
      <c r="L620" s="2">
        <f t="shared" si="68"/>
        <v>234</v>
      </c>
      <c r="M620" s="2">
        <f t="shared" si="69"/>
        <v>3889.9047650953089</v>
      </c>
      <c r="N620" s="2">
        <f t="shared" si="70"/>
        <v>2034436.8260267174</v>
      </c>
    </row>
    <row r="621" spans="7:14" x14ac:dyDescent="0.25">
      <c r="G621" s="2">
        <v>618</v>
      </c>
      <c r="H621" s="2">
        <f t="shared" si="64"/>
        <v>-971.75305505051028</v>
      </c>
      <c r="I621" s="2">
        <f t="shared" si="65"/>
        <v>971.75305505051028</v>
      </c>
      <c r="J621" s="2">
        <f t="shared" si="66"/>
        <v>1236</v>
      </c>
      <c r="K621" s="11">
        <f t="shared" si="67"/>
        <v>1943.5061101010206</v>
      </c>
      <c r="L621" s="2">
        <f t="shared" si="68"/>
        <v>236</v>
      </c>
      <c r="M621" s="2">
        <f t="shared" si="69"/>
        <v>3887.9793035392845</v>
      </c>
      <c r="N621" s="2">
        <f t="shared" si="70"/>
        <v>2038324.8053302567</v>
      </c>
    </row>
    <row r="622" spans="7:14" x14ac:dyDescent="0.25">
      <c r="G622" s="2">
        <v>619</v>
      </c>
      <c r="H622" s="2">
        <f t="shared" si="64"/>
        <v>-971.26515432192866</v>
      </c>
      <c r="I622" s="2">
        <f t="shared" si="65"/>
        <v>971.26515432192866</v>
      </c>
      <c r="J622" s="2">
        <f t="shared" si="66"/>
        <v>1238</v>
      </c>
      <c r="K622" s="11">
        <f t="shared" si="67"/>
        <v>1942.5303086438573</v>
      </c>
      <c r="L622" s="2">
        <f t="shared" si="68"/>
        <v>238</v>
      </c>
      <c r="M622" s="2">
        <f t="shared" si="69"/>
        <v>3886.0364187448777</v>
      </c>
      <c r="N622" s="2">
        <f t="shared" si="70"/>
        <v>2042210.8417490015</v>
      </c>
    </row>
    <row r="623" spans="7:14" x14ac:dyDescent="0.25">
      <c r="G623" s="2">
        <v>620</v>
      </c>
      <c r="H623" s="2">
        <f t="shared" si="64"/>
        <v>-970.77288796092773</v>
      </c>
      <c r="I623" s="2">
        <f t="shared" si="65"/>
        <v>970.77288796092773</v>
      </c>
      <c r="J623" s="2">
        <f t="shared" si="66"/>
        <v>1240</v>
      </c>
      <c r="K623" s="11">
        <f t="shared" si="67"/>
        <v>1941.5457759218555</v>
      </c>
      <c r="L623" s="2">
        <f t="shared" si="68"/>
        <v>240</v>
      </c>
      <c r="M623" s="2">
        <f t="shared" si="69"/>
        <v>3884.0760845657128</v>
      </c>
      <c r="N623" s="2">
        <f t="shared" si="70"/>
        <v>2046094.9178335671</v>
      </c>
    </row>
    <row r="624" spans="7:14" x14ac:dyDescent="0.25">
      <c r="G624" s="2">
        <v>621</v>
      </c>
      <c r="H624" s="2">
        <f t="shared" si="64"/>
        <v>-970.27624932284107</v>
      </c>
      <c r="I624" s="2">
        <f t="shared" si="65"/>
        <v>970.27624932284107</v>
      </c>
      <c r="J624" s="2">
        <f t="shared" si="66"/>
        <v>1242</v>
      </c>
      <c r="K624" s="11">
        <f t="shared" si="67"/>
        <v>1940.5524986456821</v>
      </c>
      <c r="L624" s="2">
        <f t="shared" si="68"/>
        <v>242</v>
      </c>
      <c r="M624" s="2">
        <f t="shared" si="69"/>
        <v>3882.0982745675374</v>
      </c>
      <c r="N624" s="2">
        <f t="shared" si="70"/>
        <v>2049977.0161081348</v>
      </c>
    </row>
    <row r="625" spans="7:14" x14ac:dyDescent="0.25">
      <c r="G625" s="2">
        <v>622</v>
      </c>
      <c r="H625" s="2">
        <f t="shared" si="64"/>
        <v>-969.77523169031292</v>
      </c>
      <c r="I625" s="2">
        <f t="shared" si="65"/>
        <v>969.77523169031292</v>
      </c>
      <c r="J625" s="2">
        <f t="shared" si="66"/>
        <v>1244</v>
      </c>
      <c r="K625" s="11">
        <f t="shared" si="67"/>
        <v>1939.5504633806258</v>
      </c>
      <c r="L625" s="2">
        <f t="shared" si="68"/>
        <v>244</v>
      </c>
      <c r="M625" s="2">
        <f t="shared" si="69"/>
        <v>3880.102962026308</v>
      </c>
      <c r="N625" s="2">
        <f t="shared" si="70"/>
        <v>2053857.1190701611</v>
      </c>
    </row>
    <row r="626" spans="7:14" x14ac:dyDescent="0.25">
      <c r="G626" s="2">
        <v>623</v>
      </c>
      <c r="H626" s="2">
        <f t="shared" si="64"/>
        <v>-969.2698282728087</v>
      </c>
      <c r="I626" s="2">
        <f t="shared" si="65"/>
        <v>969.2698282728087</v>
      </c>
      <c r="J626" s="2">
        <f t="shared" si="66"/>
        <v>1246</v>
      </c>
      <c r="K626" s="11">
        <f t="shared" si="67"/>
        <v>1938.5396565456174</v>
      </c>
      <c r="L626" s="2">
        <f t="shared" si="68"/>
        <v>246</v>
      </c>
      <c r="M626" s="2">
        <f t="shared" si="69"/>
        <v>3878.0901199262435</v>
      </c>
      <c r="N626" s="2">
        <f t="shared" si="70"/>
        <v>2057735.2091900874</v>
      </c>
    </row>
    <row r="627" spans="7:14" x14ac:dyDescent="0.25">
      <c r="G627" s="2">
        <v>624</v>
      </c>
      <c r="H627" s="2">
        <f t="shared" si="64"/>
        <v>-968.76003220611858</v>
      </c>
      <c r="I627" s="2">
        <f t="shared" si="65"/>
        <v>968.76003220611858</v>
      </c>
      <c r="J627" s="2">
        <f t="shared" si="66"/>
        <v>1248</v>
      </c>
      <c r="K627" s="11">
        <f t="shared" si="67"/>
        <v>1937.5200644122372</v>
      </c>
      <c r="L627" s="2">
        <f t="shared" si="68"/>
        <v>248</v>
      </c>
      <c r="M627" s="2">
        <f t="shared" si="69"/>
        <v>3876.0597209578546</v>
      </c>
      <c r="N627" s="2">
        <f t="shared" si="70"/>
        <v>2061611.2689110453</v>
      </c>
    </row>
    <row r="628" spans="7:14" x14ac:dyDescent="0.25">
      <c r="G628" s="2">
        <v>625</v>
      </c>
      <c r="H628" s="2">
        <f t="shared" si="64"/>
        <v>-968.24583655185427</v>
      </c>
      <c r="I628" s="2">
        <f t="shared" si="65"/>
        <v>968.24583655185427</v>
      </c>
      <c r="J628" s="2">
        <f t="shared" si="66"/>
        <v>1250</v>
      </c>
      <c r="K628" s="11">
        <f t="shared" si="67"/>
        <v>1936.4916731037085</v>
      </c>
      <c r="L628" s="2">
        <f t="shared" si="68"/>
        <v>250</v>
      </c>
      <c r="M628" s="2">
        <f t="shared" si="69"/>
        <v>3874.0117375159457</v>
      </c>
      <c r="N628" s="2">
        <f t="shared" si="70"/>
        <v>2065485.2806485612</v>
      </c>
    </row>
    <row r="629" spans="7:14" x14ac:dyDescent="0.25">
      <c r="G629" s="2">
        <v>626</v>
      </c>
      <c r="H629" s="2">
        <f t="shared" si="64"/>
        <v>-967.72723429693758</v>
      </c>
      <c r="I629" s="2">
        <f t="shared" si="65"/>
        <v>967.72723429693758</v>
      </c>
      <c r="J629" s="2">
        <f t="shared" si="66"/>
        <v>1252</v>
      </c>
      <c r="K629" s="11">
        <f t="shared" si="67"/>
        <v>1935.4544685938752</v>
      </c>
      <c r="L629" s="2">
        <f t="shared" si="68"/>
        <v>252</v>
      </c>
      <c r="M629" s="2">
        <f t="shared" si="69"/>
        <v>3871.9461416975837</v>
      </c>
      <c r="N629" s="2">
        <f t="shared" si="70"/>
        <v>2069357.2267902589</v>
      </c>
    </row>
    <row r="630" spans="7:14" x14ac:dyDescent="0.25">
      <c r="G630" s="2">
        <v>627</v>
      </c>
      <c r="H630" s="2">
        <f t="shared" si="64"/>
        <v>-967.20421835308389</v>
      </c>
      <c r="I630" s="2">
        <f t="shared" si="65"/>
        <v>967.20421835308389</v>
      </c>
      <c r="J630" s="2">
        <f t="shared" si="66"/>
        <v>1254</v>
      </c>
      <c r="K630" s="11">
        <f t="shared" si="67"/>
        <v>1934.4084367061678</v>
      </c>
      <c r="L630" s="2">
        <f t="shared" si="68"/>
        <v>254</v>
      </c>
      <c r="M630" s="2">
        <f t="shared" si="69"/>
        <v>3869.8629053000432</v>
      </c>
      <c r="N630" s="2">
        <f t="shared" si="70"/>
        <v>2073227.0896955589</v>
      </c>
    </row>
    <row r="631" spans="7:14" x14ac:dyDescent="0.25">
      <c r="G631" s="2">
        <v>628</v>
      </c>
      <c r="H631" s="2">
        <f t="shared" si="64"/>
        <v>-966.67678155627596</v>
      </c>
      <c r="I631" s="2">
        <f t="shared" si="65"/>
        <v>966.67678155627596</v>
      </c>
      <c r="J631" s="2">
        <f t="shared" si="66"/>
        <v>1256</v>
      </c>
      <c r="K631" s="11">
        <f t="shared" si="67"/>
        <v>1933.3535631125519</v>
      </c>
      <c r="L631" s="2">
        <f t="shared" si="68"/>
        <v>256</v>
      </c>
      <c r="M631" s="2">
        <f t="shared" si="69"/>
        <v>3867.7619998187197</v>
      </c>
      <c r="N631" s="2">
        <f t="shared" si="70"/>
        <v>2077094.8516953776</v>
      </c>
    </row>
    <row r="632" spans="7:14" x14ac:dyDescent="0.25">
      <c r="G632" s="2">
        <v>629</v>
      </c>
      <c r="H632" s="2">
        <f t="shared" si="64"/>
        <v>-966.14491666623178</v>
      </c>
      <c r="I632" s="2">
        <f t="shared" si="65"/>
        <v>966.14491666623178</v>
      </c>
      <c r="J632" s="2">
        <f t="shared" si="66"/>
        <v>1258</v>
      </c>
      <c r="K632" s="11">
        <f t="shared" si="67"/>
        <v>1932.2898333324636</v>
      </c>
      <c r="L632" s="2">
        <f t="shared" si="68"/>
        <v>258</v>
      </c>
      <c r="M632" s="2">
        <f t="shared" si="69"/>
        <v>3865.6433964450152</v>
      </c>
      <c r="N632" s="2">
        <f t="shared" si="70"/>
        <v>2080960.4950918227</v>
      </c>
    </row>
    <row r="633" spans="7:14" x14ac:dyDescent="0.25">
      <c r="G633" s="2">
        <v>630</v>
      </c>
      <c r="H633" s="2">
        <f t="shared" si="64"/>
        <v>-965.60861636586492</v>
      </c>
      <c r="I633" s="2">
        <f t="shared" si="65"/>
        <v>965.60861636586492</v>
      </c>
      <c r="J633" s="2">
        <f t="shared" si="66"/>
        <v>1260</v>
      </c>
      <c r="K633" s="11">
        <f t="shared" si="67"/>
        <v>1931.2172327317298</v>
      </c>
      <c r="L633" s="2">
        <f t="shared" si="68"/>
        <v>260</v>
      </c>
      <c r="M633" s="2">
        <f t="shared" si="69"/>
        <v>3863.5070660641932</v>
      </c>
      <c r="N633" s="2">
        <f t="shared" si="70"/>
        <v>2084824.002157887</v>
      </c>
    </row>
    <row r="634" spans="7:14" x14ac:dyDescent="0.25">
      <c r="G634" s="2">
        <v>631</v>
      </c>
      <c r="H634" s="2">
        <f t="shared" si="64"/>
        <v>-965.06787326073595</v>
      </c>
      <c r="I634" s="2">
        <f t="shared" si="65"/>
        <v>965.06787326073595</v>
      </c>
      <c r="J634" s="2">
        <f t="shared" si="66"/>
        <v>1262</v>
      </c>
      <c r="K634" s="11">
        <f t="shared" si="67"/>
        <v>1930.1357465214719</v>
      </c>
      <c r="L634" s="2">
        <f t="shared" si="68"/>
        <v>262</v>
      </c>
      <c r="M634" s="2">
        <f t="shared" si="69"/>
        <v>3861.3529792532017</v>
      </c>
      <c r="N634" s="2">
        <f t="shared" si="70"/>
        <v>2088685.3551371403</v>
      </c>
    </row>
    <row r="635" spans="7:14" x14ac:dyDescent="0.25">
      <c r="G635" s="2">
        <v>632</v>
      </c>
      <c r="H635" s="2">
        <f t="shared" si="64"/>
        <v>-964.52267987849825</v>
      </c>
      <c r="I635" s="2">
        <f t="shared" si="65"/>
        <v>964.52267987849825</v>
      </c>
      <c r="J635" s="2">
        <f t="shared" si="66"/>
        <v>1264</v>
      </c>
      <c r="K635" s="11">
        <f t="shared" si="67"/>
        <v>1929.0453597569965</v>
      </c>
      <c r="L635" s="2">
        <f t="shared" si="68"/>
        <v>264</v>
      </c>
      <c r="M635" s="2">
        <f t="shared" si="69"/>
        <v>3859.1811062784682</v>
      </c>
      <c r="N635" s="2">
        <f t="shared" si="70"/>
        <v>2092544.5362434187</v>
      </c>
    </row>
    <row r="636" spans="7:14" x14ac:dyDescent="0.25">
      <c r="G636" s="2">
        <v>633</v>
      </c>
      <c r="H636" s="2">
        <f t="shared" si="64"/>
        <v>-963.97302866833365</v>
      </c>
      <c r="I636" s="2">
        <f t="shared" si="65"/>
        <v>963.97302866833365</v>
      </c>
      <c r="J636" s="2">
        <f t="shared" si="66"/>
        <v>1266</v>
      </c>
      <c r="K636" s="11">
        <f t="shared" si="67"/>
        <v>1927.9460573366673</v>
      </c>
      <c r="L636" s="2">
        <f t="shared" si="68"/>
        <v>266</v>
      </c>
      <c r="M636" s="2">
        <f t="shared" si="69"/>
        <v>3856.9914170936636</v>
      </c>
      <c r="N636" s="2">
        <f t="shared" si="70"/>
        <v>2096401.5276605124</v>
      </c>
    </row>
    <row r="637" spans="7:14" x14ac:dyDescent="0.25">
      <c r="G637" s="2">
        <v>634</v>
      </c>
      <c r="H637" s="2">
        <f t="shared" si="64"/>
        <v>-963.41891200038208</v>
      </c>
      <c r="I637" s="2">
        <f t="shared" si="65"/>
        <v>963.41891200038208</v>
      </c>
      <c r="J637" s="2">
        <f t="shared" si="66"/>
        <v>1268</v>
      </c>
      <c r="K637" s="11">
        <f t="shared" si="67"/>
        <v>1926.8378240007642</v>
      </c>
      <c r="L637" s="2">
        <f t="shared" si="68"/>
        <v>268</v>
      </c>
      <c r="M637" s="2">
        <f t="shared" si="69"/>
        <v>3854.7838813374315</v>
      </c>
      <c r="N637" s="2">
        <f t="shared" si="70"/>
        <v>2100256.3115418497</v>
      </c>
    </row>
    <row r="638" spans="7:14" x14ac:dyDescent="0.25">
      <c r="G638" s="2">
        <v>635</v>
      </c>
      <c r="H638" s="2">
        <f t="shared" si="64"/>
        <v>-962.86032216516219</v>
      </c>
      <c r="I638" s="2">
        <f t="shared" si="65"/>
        <v>962.86032216516219</v>
      </c>
      <c r="J638" s="2">
        <f t="shared" si="66"/>
        <v>1270</v>
      </c>
      <c r="K638" s="11">
        <f t="shared" si="67"/>
        <v>1925.7206443303244</v>
      </c>
      <c r="L638" s="2">
        <f t="shared" si="68"/>
        <v>270</v>
      </c>
      <c r="M638" s="2">
        <f t="shared" si="69"/>
        <v>3852.5584683310885</v>
      </c>
      <c r="N638" s="2">
        <f t="shared" si="70"/>
        <v>2104108.8700101809</v>
      </c>
    </row>
    <row r="639" spans="7:14" x14ac:dyDescent="0.25">
      <c r="G639" s="2">
        <v>636</v>
      </c>
      <c r="H639" s="2">
        <f t="shared" si="64"/>
        <v>-962.29725137298408</v>
      </c>
      <c r="I639" s="2">
        <f t="shared" si="65"/>
        <v>962.29725137298408</v>
      </c>
      <c r="J639" s="2">
        <f t="shared" si="66"/>
        <v>1272</v>
      </c>
      <c r="K639" s="11">
        <f t="shared" si="67"/>
        <v>1924.5945027459682</v>
      </c>
      <c r="L639" s="2">
        <f t="shared" si="68"/>
        <v>272</v>
      </c>
      <c r="M639" s="2">
        <f t="shared" si="69"/>
        <v>3850.3151470762923</v>
      </c>
      <c r="N639" s="2">
        <f t="shared" si="70"/>
        <v>2107959.1851572571</v>
      </c>
    </row>
    <row r="640" spans="7:14" x14ac:dyDescent="0.25">
      <c r="G640" s="2">
        <v>637</v>
      </c>
      <c r="H640" s="2">
        <f t="shared" si="64"/>
        <v>-961.72969175335334</v>
      </c>
      <c r="I640" s="2">
        <f t="shared" si="65"/>
        <v>961.72969175335334</v>
      </c>
      <c r="J640" s="2">
        <f t="shared" si="66"/>
        <v>1274</v>
      </c>
      <c r="K640" s="11">
        <f t="shared" si="67"/>
        <v>1923.4593835067067</v>
      </c>
      <c r="L640" s="2">
        <f t="shared" si="68"/>
        <v>274</v>
      </c>
      <c r="M640" s="2">
        <f t="shared" si="69"/>
        <v>3848.0538862526746</v>
      </c>
      <c r="N640" s="2">
        <f t="shared" si="70"/>
        <v>2111807.2390435096</v>
      </c>
    </row>
    <row r="641" spans="7:14" x14ac:dyDescent="0.25">
      <c r="G641" s="2">
        <v>638</v>
      </c>
      <c r="H641" s="2">
        <f t="shared" si="64"/>
        <v>-961.15763535436793</v>
      </c>
      <c r="I641" s="2">
        <f t="shared" si="65"/>
        <v>961.15763535436793</v>
      </c>
      <c r="J641" s="2">
        <f t="shared" si="66"/>
        <v>1276</v>
      </c>
      <c r="K641" s="11">
        <f t="shared" si="67"/>
        <v>1922.3152707087359</v>
      </c>
      <c r="L641" s="2">
        <f t="shared" si="68"/>
        <v>276</v>
      </c>
      <c r="M641" s="2">
        <f t="shared" si="69"/>
        <v>3845.7746542154428</v>
      </c>
      <c r="N641" s="2">
        <f t="shared" si="70"/>
        <v>2115653.0136977253</v>
      </c>
    </row>
    <row r="642" spans="7:14" x14ac:dyDescent="0.25">
      <c r="G642" s="2">
        <v>639</v>
      </c>
      <c r="H642" s="2">
        <f t="shared" si="64"/>
        <v>-960.58107414210485</v>
      </c>
      <c r="I642" s="2">
        <f t="shared" si="65"/>
        <v>960.58107414210485</v>
      </c>
      <c r="J642" s="2">
        <f t="shared" si="66"/>
        <v>1278</v>
      </c>
      <c r="K642" s="11">
        <f t="shared" si="67"/>
        <v>1921.1621482842097</v>
      </c>
      <c r="L642" s="2">
        <f t="shared" si="68"/>
        <v>278</v>
      </c>
      <c r="M642" s="2">
        <f t="shared" si="69"/>
        <v>3843.4774189929458</v>
      </c>
      <c r="N642" s="2">
        <f t="shared" si="70"/>
        <v>2119496.4911167184</v>
      </c>
    </row>
    <row r="643" spans="7:14" x14ac:dyDescent="0.25">
      <c r="G643" s="2">
        <v>640</v>
      </c>
      <c r="H643" s="2">
        <f t="shared" ref="H643:H706" si="71">IF(G643&lt;POC_BOD,-1*$K643/2,IF(G643=POC_BOD,0,NA()))</f>
        <v>-960</v>
      </c>
      <c r="I643" s="2">
        <f t="shared" ref="I643:I706" si="72">IF(G643&lt;=POC_BOD,$K643/2,IF(G643=POC_BOD,0,NA()))</f>
        <v>960</v>
      </c>
      <c r="J643" s="2">
        <f t="shared" ref="J643:J706" si="73">IF(G643&lt;=POC_BOD,DN_KRUH/POC_BOD*G643,"")</f>
        <v>1280</v>
      </c>
      <c r="K643" s="11">
        <f t="shared" ref="K643:K706" si="74">IF(G643&lt;POC_BOD,2*POWER(POWER(R_KRUH,2)-POWER(ABS(J643-DN_KRUH/2),2),0.5),IF(G643=POC_BOD,0,""))</f>
        <v>1920</v>
      </c>
      <c r="L643" s="2">
        <f t="shared" ref="L643:L706" si="75">IF(G643&lt;=POC_BOD,ABS(J643-DN_KRUH/2),IF(G643=POC_BOD,0,""))</f>
        <v>280</v>
      </c>
      <c r="M643" s="2">
        <f t="shared" si="69"/>
        <v>3841.1621482842097</v>
      </c>
      <c r="N643" s="2">
        <f t="shared" si="70"/>
        <v>2123337.6532650026</v>
      </c>
    </row>
    <row r="644" spans="7:14" x14ac:dyDescent="0.25">
      <c r="G644" s="2">
        <v>641</v>
      </c>
      <c r="H644" s="2">
        <f t="shared" si="71"/>
        <v>-959.41440472821751</v>
      </c>
      <c r="I644" s="2">
        <f t="shared" si="72"/>
        <v>959.41440472821751</v>
      </c>
      <c r="J644" s="2">
        <f t="shared" si="73"/>
        <v>1282</v>
      </c>
      <c r="K644" s="11">
        <f t="shared" si="74"/>
        <v>1918.828809456435</v>
      </c>
      <c r="L644" s="2">
        <f t="shared" si="75"/>
        <v>282</v>
      </c>
      <c r="M644" s="2">
        <f t="shared" ref="M644:M707" si="76">IF(G643&lt;=POC_BOD,(K643+K644)/2*(J644-J643),"")</f>
        <v>3838.828809456435</v>
      </c>
      <c r="N644" s="2">
        <f t="shared" ref="N644:N707" si="77">IF(G643&lt;=POC_BOD,((K643+K644)/2*(J644-J643))+N643,"")</f>
        <v>2127176.4820744591</v>
      </c>
    </row>
    <row r="645" spans="7:14" x14ac:dyDescent="0.25">
      <c r="G645" s="2">
        <v>642</v>
      </c>
      <c r="H645" s="2">
        <f t="shared" si="71"/>
        <v>-958.82428004301187</v>
      </c>
      <c r="I645" s="2">
        <f t="shared" si="72"/>
        <v>958.82428004301187</v>
      </c>
      <c r="J645" s="2">
        <f t="shared" si="73"/>
        <v>1284</v>
      </c>
      <c r="K645" s="11">
        <f t="shared" si="74"/>
        <v>1917.6485600860237</v>
      </c>
      <c r="L645" s="2">
        <f t="shared" si="75"/>
        <v>284</v>
      </c>
      <c r="M645" s="2">
        <f t="shared" si="76"/>
        <v>3836.4773695424587</v>
      </c>
      <c r="N645" s="2">
        <f t="shared" si="77"/>
        <v>2131012.9594440013</v>
      </c>
    </row>
    <row r="646" spans="7:14" x14ac:dyDescent="0.25">
      <c r="G646" s="2">
        <v>643</v>
      </c>
      <c r="H646" s="2">
        <f t="shared" si="71"/>
        <v>-958.2296175760797</v>
      </c>
      <c r="I646" s="2">
        <f t="shared" si="72"/>
        <v>958.2296175760797</v>
      </c>
      <c r="J646" s="2">
        <f t="shared" si="73"/>
        <v>1286</v>
      </c>
      <c r="K646" s="11">
        <f t="shared" si="74"/>
        <v>1916.4592351521594</v>
      </c>
      <c r="L646" s="2">
        <f t="shared" si="75"/>
        <v>286</v>
      </c>
      <c r="M646" s="2">
        <f t="shared" si="76"/>
        <v>3834.1077952381829</v>
      </c>
      <c r="N646" s="2">
        <f t="shared" si="77"/>
        <v>2134847.0672392393</v>
      </c>
    </row>
    <row r="647" spans="7:14" x14ac:dyDescent="0.25">
      <c r="G647" s="2">
        <v>644</v>
      </c>
      <c r="H647" s="2">
        <f t="shared" si="71"/>
        <v>-957.63040887390366</v>
      </c>
      <c r="I647" s="2">
        <f t="shared" si="72"/>
        <v>957.63040887390366</v>
      </c>
      <c r="J647" s="2">
        <f t="shared" si="73"/>
        <v>1288</v>
      </c>
      <c r="K647" s="11">
        <f t="shared" si="74"/>
        <v>1915.2608177478073</v>
      </c>
      <c r="L647" s="2">
        <f t="shared" si="75"/>
        <v>288</v>
      </c>
      <c r="M647" s="2">
        <f t="shared" si="76"/>
        <v>3831.7200528999665</v>
      </c>
      <c r="N647" s="2">
        <f t="shared" si="77"/>
        <v>2138678.7872921391</v>
      </c>
    </row>
    <row r="648" spans="7:14" x14ac:dyDescent="0.25">
      <c r="G648" s="2">
        <v>645</v>
      </c>
      <c r="H648" s="2">
        <f t="shared" si="71"/>
        <v>-957.0266453970861</v>
      </c>
      <c r="I648" s="2">
        <f t="shared" si="72"/>
        <v>957.0266453970861</v>
      </c>
      <c r="J648" s="2">
        <f t="shared" si="73"/>
        <v>1290</v>
      </c>
      <c r="K648" s="11">
        <f t="shared" si="74"/>
        <v>1914.0532907941722</v>
      </c>
      <c r="L648" s="2">
        <f t="shared" si="75"/>
        <v>290</v>
      </c>
      <c r="M648" s="2">
        <f t="shared" si="76"/>
        <v>3829.3141085419793</v>
      </c>
      <c r="N648" s="2">
        <f t="shared" si="77"/>
        <v>2142508.1014006813</v>
      </c>
    </row>
    <row r="649" spans="7:14" x14ac:dyDescent="0.25">
      <c r="G649" s="2">
        <v>646</v>
      </c>
      <c r="H649" s="2">
        <f t="shared" si="71"/>
        <v>-956.41831851967368</v>
      </c>
      <c r="I649" s="2">
        <f t="shared" si="72"/>
        <v>956.41831851967368</v>
      </c>
      <c r="J649" s="2">
        <f t="shared" si="73"/>
        <v>1292</v>
      </c>
      <c r="K649" s="11">
        <f t="shared" si="74"/>
        <v>1912.8366370393474</v>
      </c>
      <c r="L649" s="2">
        <f t="shared" si="75"/>
        <v>292</v>
      </c>
      <c r="M649" s="2">
        <f t="shared" si="76"/>
        <v>3826.8899278335193</v>
      </c>
      <c r="N649" s="2">
        <f t="shared" si="77"/>
        <v>2146334.9913285146</v>
      </c>
    </row>
    <row r="650" spans="7:14" x14ac:dyDescent="0.25">
      <c r="G650" s="2">
        <v>647</v>
      </c>
      <c r="H650" s="2">
        <f t="shared" si="71"/>
        <v>-955.80541952847284</v>
      </c>
      <c r="I650" s="2">
        <f t="shared" si="72"/>
        <v>955.80541952847284</v>
      </c>
      <c r="J650" s="2">
        <f t="shared" si="73"/>
        <v>1294</v>
      </c>
      <c r="K650" s="11">
        <f t="shared" si="74"/>
        <v>1911.6108390569457</v>
      </c>
      <c r="L650" s="2">
        <f t="shared" si="75"/>
        <v>294</v>
      </c>
      <c r="M650" s="2">
        <f t="shared" si="76"/>
        <v>3824.447476096293</v>
      </c>
      <c r="N650" s="2">
        <f t="shared" si="77"/>
        <v>2150159.4388046111</v>
      </c>
    </row>
    <row r="651" spans="7:14" x14ac:dyDescent="0.25">
      <c r="G651" s="2">
        <v>648</v>
      </c>
      <c r="H651" s="2">
        <f t="shared" si="71"/>
        <v>-955.1879396223552</v>
      </c>
      <c r="I651" s="2">
        <f t="shared" si="72"/>
        <v>955.1879396223552</v>
      </c>
      <c r="J651" s="2">
        <f t="shared" si="73"/>
        <v>1296</v>
      </c>
      <c r="K651" s="11">
        <f t="shared" si="74"/>
        <v>1910.3758792447104</v>
      </c>
      <c r="L651" s="2">
        <f t="shared" si="75"/>
        <v>296</v>
      </c>
      <c r="M651" s="2">
        <f t="shared" si="76"/>
        <v>3821.9867183016559</v>
      </c>
      <c r="N651" s="2">
        <f t="shared" si="77"/>
        <v>2153981.4255229128</v>
      </c>
    </row>
    <row r="652" spans="7:14" x14ac:dyDescent="0.25">
      <c r="G652" s="2">
        <v>649</v>
      </c>
      <c r="H652" s="2">
        <f t="shared" si="71"/>
        <v>-954.56586991155302</v>
      </c>
      <c r="I652" s="2">
        <f t="shared" si="72"/>
        <v>954.56586991155302</v>
      </c>
      <c r="J652" s="2">
        <f t="shared" si="73"/>
        <v>1298</v>
      </c>
      <c r="K652" s="11">
        <f t="shared" si="74"/>
        <v>1909.131739823106</v>
      </c>
      <c r="L652" s="2">
        <f t="shared" si="75"/>
        <v>298</v>
      </c>
      <c r="M652" s="2">
        <f t="shared" si="76"/>
        <v>3819.5076190678164</v>
      </c>
      <c r="N652" s="2">
        <f t="shared" si="77"/>
        <v>2157800.9331419808</v>
      </c>
    </row>
    <row r="653" spans="7:14" x14ac:dyDescent="0.25">
      <c r="G653" s="2">
        <v>650</v>
      </c>
      <c r="H653" s="2">
        <f t="shared" si="71"/>
        <v>-953.93920141694559</v>
      </c>
      <c r="I653" s="2">
        <f t="shared" si="72"/>
        <v>953.93920141694559</v>
      </c>
      <c r="J653" s="2">
        <f t="shared" si="73"/>
        <v>1300</v>
      </c>
      <c r="K653" s="11">
        <f t="shared" si="74"/>
        <v>1907.8784028338912</v>
      </c>
      <c r="L653" s="2">
        <f t="shared" si="75"/>
        <v>300</v>
      </c>
      <c r="M653" s="2">
        <f t="shared" si="76"/>
        <v>3817.0101426569972</v>
      </c>
      <c r="N653" s="2">
        <f t="shared" si="77"/>
        <v>2161617.9432846378</v>
      </c>
    </row>
    <row r="654" spans="7:14" x14ac:dyDescent="0.25">
      <c r="G654" s="2">
        <v>651</v>
      </c>
      <c r="H654" s="2">
        <f t="shared" si="71"/>
        <v>-953.3079250693346</v>
      </c>
      <c r="I654" s="2">
        <f t="shared" si="72"/>
        <v>953.3079250693346</v>
      </c>
      <c r="J654" s="2">
        <f t="shared" si="73"/>
        <v>1302</v>
      </c>
      <c r="K654" s="11">
        <f t="shared" si="74"/>
        <v>1906.6158501386692</v>
      </c>
      <c r="L654" s="2">
        <f t="shared" si="75"/>
        <v>302</v>
      </c>
      <c r="M654" s="2">
        <f t="shared" si="76"/>
        <v>3814.4942529725604</v>
      </c>
      <c r="N654" s="2">
        <f t="shared" si="77"/>
        <v>2165432.4375376105</v>
      </c>
    </row>
    <row r="655" spans="7:14" x14ac:dyDescent="0.25">
      <c r="G655" s="2">
        <v>652</v>
      </c>
      <c r="H655" s="2">
        <f t="shared" si="71"/>
        <v>-952.67203170870926</v>
      </c>
      <c r="I655" s="2">
        <f t="shared" si="72"/>
        <v>952.67203170870926</v>
      </c>
      <c r="J655" s="2">
        <f t="shared" si="73"/>
        <v>1304</v>
      </c>
      <c r="K655" s="11">
        <f t="shared" si="74"/>
        <v>1905.3440634174185</v>
      </c>
      <c r="L655" s="2">
        <f t="shared" si="75"/>
        <v>304</v>
      </c>
      <c r="M655" s="2">
        <f t="shared" si="76"/>
        <v>3811.9599135560875</v>
      </c>
      <c r="N655" s="2">
        <f t="shared" si="77"/>
        <v>2169244.3974511665</v>
      </c>
    </row>
    <row r="656" spans="7:14" x14ac:dyDescent="0.25">
      <c r="G656" s="2">
        <v>653</v>
      </c>
      <c r="H656" s="2">
        <f t="shared" si="71"/>
        <v>-952.03151208350243</v>
      </c>
      <c r="I656" s="2">
        <f t="shared" si="72"/>
        <v>952.03151208350243</v>
      </c>
      <c r="J656" s="2">
        <f t="shared" si="73"/>
        <v>1306</v>
      </c>
      <c r="K656" s="11">
        <f t="shared" si="74"/>
        <v>1904.0630241670049</v>
      </c>
      <c r="L656" s="2">
        <f t="shared" si="75"/>
        <v>306</v>
      </c>
      <c r="M656" s="2">
        <f t="shared" si="76"/>
        <v>3809.4070875844236</v>
      </c>
      <c r="N656" s="2">
        <f t="shared" si="77"/>
        <v>2173053.804538751</v>
      </c>
    </row>
    <row r="657" spans="7:14" x14ac:dyDescent="0.25">
      <c r="G657" s="2">
        <v>654</v>
      </c>
      <c r="H657" s="2">
        <f t="shared" si="71"/>
        <v>-951.38635684983421</v>
      </c>
      <c r="I657" s="2">
        <f t="shared" si="72"/>
        <v>951.38635684983421</v>
      </c>
      <c r="J657" s="2">
        <f t="shared" si="73"/>
        <v>1308</v>
      </c>
      <c r="K657" s="11">
        <f t="shared" si="74"/>
        <v>1902.7727136996684</v>
      </c>
      <c r="L657" s="2">
        <f t="shared" si="75"/>
        <v>308</v>
      </c>
      <c r="M657" s="2">
        <f t="shared" si="76"/>
        <v>3806.8357378666733</v>
      </c>
      <c r="N657" s="2">
        <f t="shared" si="77"/>
        <v>2176860.6402766178</v>
      </c>
    </row>
    <row r="658" spans="7:14" x14ac:dyDescent="0.25">
      <c r="G658" s="2">
        <v>655</v>
      </c>
      <c r="H658" s="2">
        <f t="shared" si="71"/>
        <v>-950.73655657074642</v>
      </c>
      <c r="I658" s="2">
        <f t="shared" si="72"/>
        <v>950.73655657074642</v>
      </c>
      <c r="J658" s="2">
        <f t="shared" si="73"/>
        <v>1310</v>
      </c>
      <c r="K658" s="11">
        <f t="shared" si="74"/>
        <v>1901.4731131414928</v>
      </c>
      <c r="L658" s="2">
        <f t="shared" si="75"/>
        <v>310</v>
      </c>
      <c r="M658" s="2">
        <f t="shared" si="76"/>
        <v>3804.245826841161</v>
      </c>
      <c r="N658" s="2">
        <f t="shared" si="77"/>
        <v>2180664.8861034592</v>
      </c>
    </row>
    <row r="659" spans="7:14" x14ac:dyDescent="0.25">
      <c r="G659" s="2">
        <v>656</v>
      </c>
      <c r="H659" s="2">
        <f t="shared" si="71"/>
        <v>-950.08210171542544</v>
      </c>
      <c r="I659" s="2">
        <f t="shared" si="72"/>
        <v>950.08210171542544</v>
      </c>
      <c r="J659" s="2">
        <f t="shared" si="73"/>
        <v>1312</v>
      </c>
      <c r="K659" s="11">
        <f t="shared" si="74"/>
        <v>1900.1642034308509</v>
      </c>
      <c r="L659" s="2">
        <f t="shared" si="75"/>
        <v>312</v>
      </c>
      <c r="M659" s="2">
        <f t="shared" si="76"/>
        <v>3801.6373165723435</v>
      </c>
      <c r="N659" s="2">
        <f t="shared" si="77"/>
        <v>2184466.5234200316</v>
      </c>
    </row>
    <row r="660" spans="7:14" x14ac:dyDescent="0.25">
      <c r="G660" s="2">
        <v>657</v>
      </c>
      <c r="H660" s="2">
        <f t="shared" si="71"/>
        <v>-949.42298265841453</v>
      </c>
      <c r="I660" s="2">
        <f t="shared" si="72"/>
        <v>949.42298265841453</v>
      </c>
      <c r="J660" s="2">
        <f t="shared" si="73"/>
        <v>1314</v>
      </c>
      <c r="K660" s="11">
        <f t="shared" si="74"/>
        <v>1898.8459653168291</v>
      </c>
      <c r="L660" s="2">
        <f t="shared" si="75"/>
        <v>314</v>
      </c>
      <c r="M660" s="2">
        <f t="shared" si="76"/>
        <v>3799.0101687476799</v>
      </c>
      <c r="N660" s="2">
        <f t="shared" si="77"/>
        <v>2188265.5335887792</v>
      </c>
    </row>
    <row r="661" spans="7:14" x14ac:dyDescent="0.25">
      <c r="G661" s="2">
        <v>658</v>
      </c>
      <c r="H661" s="2">
        <f t="shared" si="71"/>
        <v>-948.7591896788141</v>
      </c>
      <c r="I661" s="2">
        <f t="shared" si="72"/>
        <v>948.7591896788141</v>
      </c>
      <c r="J661" s="2">
        <f t="shared" si="73"/>
        <v>1316</v>
      </c>
      <c r="K661" s="11">
        <f t="shared" si="74"/>
        <v>1897.5183793576282</v>
      </c>
      <c r="L661" s="2">
        <f t="shared" si="75"/>
        <v>316</v>
      </c>
      <c r="M661" s="2">
        <f t="shared" si="76"/>
        <v>3796.3643446744572</v>
      </c>
      <c r="N661" s="2">
        <f t="shared" si="77"/>
        <v>2192061.8979334538</v>
      </c>
    </row>
    <row r="662" spans="7:14" x14ac:dyDescent="0.25">
      <c r="G662" s="2">
        <v>659</v>
      </c>
      <c r="H662" s="2">
        <f t="shared" si="71"/>
        <v>-948.09071295947206</v>
      </c>
      <c r="I662" s="2">
        <f t="shared" si="72"/>
        <v>948.09071295947206</v>
      </c>
      <c r="J662" s="2">
        <f t="shared" si="73"/>
        <v>1318</v>
      </c>
      <c r="K662" s="11">
        <f t="shared" si="74"/>
        <v>1896.1814259189441</v>
      </c>
      <c r="L662" s="2">
        <f t="shared" si="75"/>
        <v>318</v>
      </c>
      <c r="M662" s="2">
        <f t="shared" si="76"/>
        <v>3793.6998052765721</v>
      </c>
      <c r="N662" s="2">
        <f t="shared" si="77"/>
        <v>2195855.5977387303</v>
      </c>
    </row>
    <row r="663" spans="7:14" x14ac:dyDescent="0.25">
      <c r="G663" s="2">
        <v>660</v>
      </c>
      <c r="H663" s="2">
        <f t="shared" si="71"/>
        <v>-947.41754258616095</v>
      </c>
      <c r="I663" s="2">
        <f t="shared" si="72"/>
        <v>947.41754258616095</v>
      </c>
      <c r="J663" s="2">
        <f t="shared" si="73"/>
        <v>1320</v>
      </c>
      <c r="K663" s="11">
        <f t="shared" si="74"/>
        <v>1894.8350851723219</v>
      </c>
      <c r="L663" s="2">
        <f t="shared" si="75"/>
        <v>320</v>
      </c>
      <c r="M663" s="2">
        <f t="shared" si="76"/>
        <v>3791.0165110912658</v>
      </c>
      <c r="N663" s="2">
        <f t="shared" si="77"/>
        <v>2199646.6142498218</v>
      </c>
    </row>
    <row r="664" spans="7:14" x14ac:dyDescent="0.25">
      <c r="G664" s="2">
        <v>661</v>
      </c>
      <c r="H664" s="2">
        <f t="shared" si="71"/>
        <v>-946.73966854674472</v>
      </c>
      <c r="I664" s="2">
        <f t="shared" si="72"/>
        <v>946.73966854674472</v>
      </c>
      <c r="J664" s="2">
        <f t="shared" si="73"/>
        <v>1322</v>
      </c>
      <c r="K664" s="11">
        <f t="shared" si="74"/>
        <v>1893.4793370934894</v>
      </c>
      <c r="L664" s="2">
        <f t="shared" si="75"/>
        <v>322</v>
      </c>
      <c r="M664" s="2">
        <f t="shared" si="76"/>
        <v>3788.3144222658111</v>
      </c>
      <c r="N664" s="2">
        <f t="shared" si="77"/>
        <v>2203434.9286720874</v>
      </c>
    </row>
    <row r="665" spans="7:14" x14ac:dyDescent="0.25">
      <c r="G665" s="2">
        <v>662</v>
      </c>
      <c r="H665" s="2">
        <f t="shared" si="71"/>
        <v>-946.05708073033315</v>
      </c>
      <c r="I665" s="2">
        <f t="shared" si="72"/>
        <v>946.05708073033315</v>
      </c>
      <c r="J665" s="2">
        <f t="shared" si="73"/>
        <v>1324</v>
      </c>
      <c r="K665" s="11">
        <f t="shared" si="74"/>
        <v>1892.1141614606663</v>
      </c>
      <c r="L665" s="2">
        <f t="shared" si="75"/>
        <v>324</v>
      </c>
      <c r="M665" s="2">
        <f t="shared" si="76"/>
        <v>3785.5934985541558</v>
      </c>
      <c r="N665" s="2">
        <f t="shared" si="77"/>
        <v>2207220.5221706415</v>
      </c>
    </row>
    <row r="666" spans="7:14" x14ac:dyDescent="0.25">
      <c r="G666" s="2">
        <v>663</v>
      </c>
      <c r="H666" s="2">
        <f t="shared" si="71"/>
        <v>-945.36976892642383</v>
      </c>
      <c r="I666" s="2">
        <f t="shared" si="72"/>
        <v>945.36976892642383</v>
      </c>
      <c r="J666" s="2">
        <f t="shared" si="73"/>
        <v>1326</v>
      </c>
      <c r="K666" s="11">
        <f t="shared" si="74"/>
        <v>1890.7395378528477</v>
      </c>
      <c r="L666" s="2">
        <f t="shared" si="75"/>
        <v>326</v>
      </c>
      <c r="M666" s="2">
        <f t="shared" si="76"/>
        <v>3782.853699313514</v>
      </c>
      <c r="N666" s="2">
        <f t="shared" si="77"/>
        <v>2211003.3758699549</v>
      </c>
    </row>
    <row r="667" spans="7:14" x14ac:dyDescent="0.25">
      <c r="G667" s="2">
        <v>664</v>
      </c>
      <c r="H667" s="2">
        <f t="shared" si="71"/>
        <v>-944.67772282403268</v>
      </c>
      <c r="I667" s="2">
        <f t="shared" si="72"/>
        <v>944.67772282403268</v>
      </c>
      <c r="J667" s="2">
        <f t="shared" si="73"/>
        <v>1328</v>
      </c>
      <c r="K667" s="11">
        <f t="shared" si="74"/>
        <v>1889.3554456480654</v>
      </c>
      <c r="L667" s="2">
        <f t="shared" si="75"/>
        <v>328</v>
      </c>
      <c r="M667" s="2">
        <f t="shared" si="76"/>
        <v>3780.0949835009133</v>
      </c>
      <c r="N667" s="2">
        <f t="shared" si="77"/>
        <v>2214783.4708534558</v>
      </c>
    </row>
    <row r="668" spans="7:14" x14ac:dyDescent="0.25">
      <c r="G668" s="2">
        <v>665</v>
      </c>
      <c r="H668" s="2">
        <f t="shared" si="71"/>
        <v>-943.98093201081133</v>
      </c>
      <c r="I668" s="2">
        <f t="shared" si="72"/>
        <v>943.98093201081133</v>
      </c>
      <c r="J668" s="2">
        <f t="shared" si="73"/>
        <v>1330</v>
      </c>
      <c r="K668" s="11">
        <f t="shared" si="74"/>
        <v>1887.9618640216227</v>
      </c>
      <c r="L668" s="2">
        <f t="shared" si="75"/>
        <v>330</v>
      </c>
      <c r="M668" s="2">
        <f t="shared" si="76"/>
        <v>3777.3173096696883</v>
      </c>
      <c r="N668" s="2">
        <f t="shared" si="77"/>
        <v>2218560.7881631255</v>
      </c>
    </row>
    <row r="669" spans="7:14" x14ac:dyDescent="0.25">
      <c r="G669" s="2">
        <v>666</v>
      </c>
      <c r="H669" s="2">
        <f t="shared" si="71"/>
        <v>-943.279385972152</v>
      </c>
      <c r="I669" s="2">
        <f t="shared" si="72"/>
        <v>943.279385972152</v>
      </c>
      <c r="J669" s="2">
        <f t="shared" si="73"/>
        <v>1332</v>
      </c>
      <c r="K669" s="11">
        <f t="shared" si="74"/>
        <v>1886.558771944304</v>
      </c>
      <c r="L669" s="2">
        <f t="shared" si="75"/>
        <v>332</v>
      </c>
      <c r="M669" s="2">
        <f t="shared" si="76"/>
        <v>3774.5206359659269</v>
      </c>
      <c r="N669" s="2">
        <f t="shared" si="77"/>
        <v>2222335.3087990913</v>
      </c>
    </row>
    <row r="670" spans="7:14" x14ac:dyDescent="0.25">
      <c r="G670" s="2">
        <v>667</v>
      </c>
      <c r="H670" s="2">
        <f t="shared" si="71"/>
        <v>-942.57307409027976</v>
      </c>
      <c r="I670" s="2">
        <f t="shared" si="72"/>
        <v>942.57307409027976</v>
      </c>
      <c r="J670" s="2">
        <f t="shared" si="73"/>
        <v>1334</v>
      </c>
      <c r="K670" s="11">
        <f t="shared" si="74"/>
        <v>1885.1461481805595</v>
      </c>
      <c r="L670" s="2">
        <f t="shared" si="75"/>
        <v>334</v>
      </c>
      <c r="M670" s="2">
        <f t="shared" si="76"/>
        <v>3771.7049201248637</v>
      </c>
      <c r="N670" s="2">
        <f t="shared" si="77"/>
        <v>2226107.013719216</v>
      </c>
    </row>
    <row r="671" spans="7:14" x14ac:dyDescent="0.25">
      <c r="G671" s="2">
        <v>668</v>
      </c>
      <c r="H671" s="2">
        <f t="shared" si="71"/>
        <v>-941.86198564333188</v>
      </c>
      <c r="I671" s="2">
        <f t="shared" si="72"/>
        <v>941.86198564333188</v>
      </c>
      <c r="J671" s="2">
        <f t="shared" si="73"/>
        <v>1336</v>
      </c>
      <c r="K671" s="11">
        <f t="shared" si="74"/>
        <v>1883.7239712866638</v>
      </c>
      <c r="L671" s="2">
        <f t="shared" si="75"/>
        <v>336</v>
      </c>
      <c r="M671" s="2">
        <f t="shared" si="76"/>
        <v>3768.870119467223</v>
      </c>
      <c r="N671" s="2">
        <f t="shared" si="77"/>
        <v>2229875.8838386834</v>
      </c>
    </row>
    <row r="672" spans="7:14" x14ac:dyDescent="0.25">
      <c r="G672" s="2">
        <v>669</v>
      </c>
      <c r="H672" s="2">
        <f t="shared" si="71"/>
        <v>-941.14610980442353</v>
      </c>
      <c r="I672" s="2">
        <f t="shared" si="72"/>
        <v>941.14610980442353</v>
      </c>
      <c r="J672" s="2">
        <f t="shared" si="73"/>
        <v>1338</v>
      </c>
      <c r="K672" s="11">
        <f t="shared" si="74"/>
        <v>1882.2922196088471</v>
      </c>
      <c r="L672" s="2">
        <f t="shared" si="75"/>
        <v>338</v>
      </c>
      <c r="M672" s="2">
        <f t="shared" si="76"/>
        <v>3766.0161908955106</v>
      </c>
      <c r="N672" s="2">
        <f t="shared" si="77"/>
        <v>2233641.9000295787</v>
      </c>
    </row>
    <row r="673" spans="7:14" x14ac:dyDescent="0.25">
      <c r="G673" s="2">
        <v>670</v>
      </c>
      <c r="H673" s="2">
        <f t="shared" si="71"/>
        <v>-940.42543564069979</v>
      </c>
      <c r="I673" s="2">
        <f t="shared" si="72"/>
        <v>940.42543564069979</v>
      </c>
      <c r="J673" s="2">
        <f t="shared" si="73"/>
        <v>1340</v>
      </c>
      <c r="K673" s="11">
        <f t="shared" si="74"/>
        <v>1880.8508712813996</v>
      </c>
      <c r="L673" s="2">
        <f t="shared" si="75"/>
        <v>340</v>
      </c>
      <c r="M673" s="2">
        <f t="shared" si="76"/>
        <v>3763.1430908902466</v>
      </c>
      <c r="N673" s="2">
        <f t="shared" si="77"/>
        <v>2237405.043120469</v>
      </c>
    </row>
    <row r="674" spans="7:14" x14ac:dyDescent="0.25">
      <c r="G674" s="2">
        <v>671</v>
      </c>
      <c r="H674" s="2">
        <f t="shared" si="71"/>
        <v>-939.69995211237506</v>
      </c>
      <c r="I674" s="2">
        <f t="shared" si="72"/>
        <v>939.69995211237506</v>
      </c>
      <c r="J674" s="2">
        <f t="shared" si="73"/>
        <v>1342</v>
      </c>
      <c r="K674" s="11">
        <f t="shared" si="74"/>
        <v>1879.3999042247501</v>
      </c>
      <c r="L674" s="2">
        <f t="shared" si="75"/>
        <v>342</v>
      </c>
      <c r="M674" s="2">
        <f t="shared" si="76"/>
        <v>3760.2507755061497</v>
      </c>
      <c r="N674" s="2">
        <f t="shared" si="77"/>
        <v>2241165.2938959752</v>
      </c>
    </row>
    <row r="675" spans="7:14" x14ac:dyDescent="0.25">
      <c r="G675" s="2">
        <v>672</v>
      </c>
      <c r="H675" s="2">
        <f t="shared" si="71"/>
        <v>-938.96964807175743</v>
      </c>
      <c r="I675" s="2">
        <f t="shared" si="72"/>
        <v>938.96964807175743</v>
      </c>
      <c r="J675" s="2">
        <f t="shared" si="73"/>
        <v>1344</v>
      </c>
      <c r="K675" s="11">
        <f t="shared" si="74"/>
        <v>1877.9392961435149</v>
      </c>
      <c r="L675" s="2">
        <f t="shared" si="75"/>
        <v>344</v>
      </c>
      <c r="M675" s="2">
        <f t="shared" si="76"/>
        <v>3757.3392003682648</v>
      </c>
      <c r="N675" s="2">
        <f t="shared" si="77"/>
        <v>2244922.6330963434</v>
      </c>
    </row>
    <row r="676" spans="7:14" x14ac:dyDescent="0.25">
      <c r="G676" s="2">
        <v>673</v>
      </c>
      <c r="H676" s="2">
        <f t="shared" si="71"/>
        <v>-938.2345122622595</v>
      </c>
      <c r="I676" s="2">
        <f t="shared" si="72"/>
        <v>938.2345122622595</v>
      </c>
      <c r="J676" s="2">
        <f t="shared" si="73"/>
        <v>1346</v>
      </c>
      <c r="K676" s="11">
        <f t="shared" si="74"/>
        <v>1876.469024524519</v>
      </c>
      <c r="L676" s="2">
        <f t="shared" si="75"/>
        <v>346</v>
      </c>
      <c r="M676" s="2">
        <f t="shared" si="76"/>
        <v>3754.4083206680339</v>
      </c>
      <c r="N676" s="2">
        <f t="shared" si="77"/>
        <v>2248677.0414170115</v>
      </c>
    </row>
    <row r="677" spans="7:14" x14ac:dyDescent="0.25">
      <c r="G677" s="2">
        <v>674</v>
      </c>
      <c r="H677" s="2">
        <f t="shared" si="71"/>
        <v>-937.49453331739483</v>
      </c>
      <c r="I677" s="2">
        <f t="shared" si="72"/>
        <v>937.49453331739483</v>
      </c>
      <c r="J677" s="2">
        <f t="shared" si="73"/>
        <v>1348</v>
      </c>
      <c r="K677" s="11">
        <f t="shared" si="74"/>
        <v>1874.9890666347897</v>
      </c>
      <c r="L677" s="2">
        <f t="shared" si="75"/>
        <v>348</v>
      </c>
      <c r="M677" s="2">
        <f t="shared" si="76"/>
        <v>3751.4580911593084</v>
      </c>
      <c r="N677" s="2">
        <f t="shared" si="77"/>
        <v>2252428.4995081709</v>
      </c>
    </row>
    <row r="678" spans="7:14" x14ac:dyDescent="0.25">
      <c r="G678" s="2">
        <v>675</v>
      </c>
      <c r="H678" s="2">
        <f t="shared" si="71"/>
        <v>-936.74969975975978</v>
      </c>
      <c r="I678" s="2">
        <f t="shared" si="72"/>
        <v>936.74969975975978</v>
      </c>
      <c r="J678" s="2">
        <f t="shared" si="73"/>
        <v>1350</v>
      </c>
      <c r="K678" s="11">
        <f t="shared" si="74"/>
        <v>1873.4993995195196</v>
      </c>
      <c r="L678" s="2">
        <f t="shared" si="75"/>
        <v>350</v>
      </c>
      <c r="M678" s="2">
        <f t="shared" si="76"/>
        <v>3748.4884661543092</v>
      </c>
      <c r="N678" s="2">
        <f t="shared" si="77"/>
        <v>2256176.9879743252</v>
      </c>
    </row>
    <row r="679" spans="7:14" x14ac:dyDescent="0.25">
      <c r="G679" s="2">
        <v>676</v>
      </c>
      <c r="H679" s="2">
        <f t="shared" si="71"/>
        <v>-936</v>
      </c>
      <c r="I679" s="2">
        <f t="shared" si="72"/>
        <v>936</v>
      </c>
      <c r="J679" s="2">
        <f t="shared" si="73"/>
        <v>1352</v>
      </c>
      <c r="K679" s="11">
        <f t="shared" si="74"/>
        <v>1872</v>
      </c>
      <c r="L679" s="2">
        <f t="shared" si="75"/>
        <v>352</v>
      </c>
      <c r="M679" s="2">
        <f t="shared" si="76"/>
        <v>3745.4993995195196</v>
      </c>
      <c r="N679" s="2">
        <f t="shared" si="77"/>
        <v>2259922.4873738447</v>
      </c>
    </row>
    <row r="680" spans="7:14" x14ac:dyDescent="0.25">
      <c r="G680" s="2">
        <v>677</v>
      </c>
      <c r="H680" s="2">
        <f t="shared" si="71"/>
        <v>-935.24542233576312</v>
      </c>
      <c r="I680" s="2">
        <f t="shared" si="72"/>
        <v>935.24542233576312</v>
      </c>
      <c r="J680" s="2">
        <f t="shared" si="73"/>
        <v>1354</v>
      </c>
      <c r="K680" s="11">
        <f t="shared" si="74"/>
        <v>1870.4908446715262</v>
      </c>
      <c r="L680" s="2">
        <f t="shared" si="75"/>
        <v>354</v>
      </c>
      <c r="M680" s="2">
        <f t="shared" si="76"/>
        <v>3742.4908446715262</v>
      </c>
      <c r="N680" s="2">
        <f t="shared" si="77"/>
        <v>2263664.9782185163</v>
      </c>
    </row>
    <row r="681" spans="7:14" x14ac:dyDescent="0.25">
      <c r="G681" s="2">
        <v>678</v>
      </c>
      <c r="H681" s="2">
        <f t="shared" si="71"/>
        <v>-934.48595495063489</v>
      </c>
      <c r="I681" s="2">
        <f t="shared" si="72"/>
        <v>934.48595495063489</v>
      </c>
      <c r="J681" s="2">
        <f t="shared" si="73"/>
        <v>1356</v>
      </c>
      <c r="K681" s="11">
        <f t="shared" si="74"/>
        <v>1868.9719099012698</v>
      </c>
      <c r="L681" s="2">
        <f t="shared" si="75"/>
        <v>356</v>
      </c>
      <c r="M681" s="2">
        <f t="shared" si="76"/>
        <v>3739.4627545727963</v>
      </c>
      <c r="N681" s="2">
        <f t="shared" si="77"/>
        <v>2267404.4409730891</v>
      </c>
    </row>
    <row r="682" spans="7:14" x14ac:dyDescent="0.25">
      <c r="G682" s="2">
        <v>679</v>
      </c>
      <c r="H682" s="2">
        <f t="shared" si="71"/>
        <v>-933.72158591306004</v>
      </c>
      <c r="I682" s="2">
        <f t="shared" si="72"/>
        <v>933.72158591306004</v>
      </c>
      <c r="J682" s="2">
        <f t="shared" si="73"/>
        <v>1358</v>
      </c>
      <c r="K682" s="11">
        <f t="shared" si="74"/>
        <v>1867.4431718261201</v>
      </c>
      <c r="L682" s="2">
        <f t="shared" si="75"/>
        <v>358</v>
      </c>
      <c r="M682" s="2">
        <f t="shared" si="76"/>
        <v>3736.4150817273899</v>
      </c>
      <c r="N682" s="2">
        <f t="shared" si="77"/>
        <v>2271140.8560548164</v>
      </c>
    </row>
    <row r="683" spans="7:14" x14ac:dyDescent="0.25">
      <c r="G683" s="2">
        <v>680</v>
      </c>
      <c r="H683" s="2">
        <f t="shared" si="71"/>
        <v>-932.95230317524806</v>
      </c>
      <c r="I683" s="2">
        <f t="shared" si="72"/>
        <v>932.95230317524806</v>
      </c>
      <c r="J683" s="2">
        <f t="shared" si="73"/>
        <v>1360</v>
      </c>
      <c r="K683" s="11">
        <f t="shared" si="74"/>
        <v>1865.9046063504961</v>
      </c>
      <c r="L683" s="2">
        <f t="shared" si="75"/>
        <v>360</v>
      </c>
      <c r="M683" s="2">
        <f t="shared" si="76"/>
        <v>3733.347778176616</v>
      </c>
      <c r="N683" s="2">
        <f t="shared" si="77"/>
        <v>2274874.2038329928</v>
      </c>
    </row>
    <row r="684" spans="7:14" x14ac:dyDescent="0.25">
      <c r="G684" s="2">
        <v>681</v>
      </c>
      <c r="H684" s="2">
        <f t="shared" si="71"/>
        <v>-932.17809457206192</v>
      </c>
      <c r="I684" s="2">
        <f t="shared" si="72"/>
        <v>932.17809457206192</v>
      </c>
      <c r="J684" s="2">
        <f t="shared" si="73"/>
        <v>1362</v>
      </c>
      <c r="K684" s="11">
        <f t="shared" si="74"/>
        <v>1864.3561891441238</v>
      </c>
      <c r="L684" s="2">
        <f t="shared" si="75"/>
        <v>362</v>
      </c>
      <c r="M684" s="2">
        <f t="shared" si="76"/>
        <v>3730.2607954946197</v>
      </c>
      <c r="N684" s="2">
        <f t="shared" si="77"/>
        <v>2278604.4646284874</v>
      </c>
    </row>
    <row r="685" spans="7:14" x14ac:dyDescent="0.25">
      <c r="G685" s="2">
        <v>682</v>
      </c>
      <c r="H685" s="2">
        <f t="shared" si="71"/>
        <v>-931.39894781989096</v>
      </c>
      <c r="I685" s="2">
        <f t="shared" si="72"/>
        <v>931.39894781989096</v>
      </c>
      <c r="J685" s="2">
        <f t="shared" si="73"/>
        <v>1364</v>
      </c>
      <c r="K685" s="11">
        <f t="shared" si="74"/>
        <v>1862.7978956397819</v>
      </c>
      <c r="L685" s="2">
        <f t="shared" si="75"/>
        <v>364</v>
      </c>
      <c r="M685" s="2">
        <f t="shared" si="76"/>
        <v>3727.154084783906</v>
      </c>
      <c r="N685" s="2">
        <f t="shared" si="77"/>
        <v>2282331.6187132713</v>
      </c>
    </row>
    <row r="686" spans="7:14" x14ac:dyDescent="0.25">
      <c r="G686" s="2">
        <v>683</v>
      </c>
      <c r="H686" s="2">
        <f t="shared" si="71"/>
        <v>-930.61485051550733</v>
      </c>
      <c r="I686" s="2">
        <f t="shared" si="72"/>
        <v>930.61485051550733</v>
      </c>
      <c r="J686" s="2">
        <f t="shared" si="73"/>
        <v>1366</v>
      </c>
      <c r="K686" s="11">
        <f t="shared" si="74"/>
        <v>1861.2297010310147</v>
      </c>
      <c r="L686" s="2">
        <f t="shared" si="75"/>
        <v>366</v>
      </c>
      <c r="M686" s="2">
        <f t="shared" si="76"/>
        <v>3724.0275966707968</v>
      </c>
      <c r="N686" s="2">
        <f t="shared" si="77"/>
        <v>2286055.646309942</v>
      </c>
    </row>
    <row r="687" spans="7:14" x14ac:dyDescent="0.25">
      <c r="G687" s="2">
        <v>684</v>
      </c>
      <c r="H687" s="2">
        <f t="shared" si="71"/>
        <v>-929.82579013490476</v>
      </c>
      <c r="I687" s="2">
        <f t="shared" si="72"/>
        <v>929.82579013490476</v>
      </c>
      <c r="J687" s="2">
        <f t="shared" si="73"/>
        <v>1368</v>
      </c>
      <c r="K687" s="11">
        <f t="shared" si="74"/>
        <v>1859.6515802698095</v>
      </c>
      <c r="L687" s="2">
        <f t="shared" si="75"/>
        <v>368</v>
      </c>
      <c r="M687" s="2">
        <f t="shared" si="76"/>
        <v>3720.8812813008244</v>
      </c>
      <c r="N687" s="2">
        <f t="shared" si="77"/>
        <v>2289776.5275912429</v>
      </c>
    </row>
    <row r="688" spans="7:14" x14ac:dyDescent="0.25">
      <c r="G688" s="2">
        <v>685</v>
      </c>
      <c r="H688" s="2">
        <f t="shared" si="71"/>
        <v>-929.03175403212128</v>
      </c>
      <c r="I688" s="2">
        <f t="shared" si="72"/>
        <v>929.03175403212128</v>
      </c>
      <c r="J688" s="2">
        <f t="shared" si="73"/>
        <v>1370</v>
      </c>
      <c r="K688" s="11">
        <f t="shared" si="74"/>
        <v>1858.0635080642426</v>
      </c>
      <c r="L688" s="2">
        <f t="shared" si="75"/>
        <v>370</v>
      </c>
      <c r="M688" s="2">
        <f t="shared" si="76"/>
        <v>3717.7150883340519</v>
      </c>
      <c r="N688" s="2">
        <f t="shared" si="77"/>
        <v>2293494.2426795769</v>
      </c>
    </row>
    <row r="689" spans="7:14" x14ac:dyDescent="0.25">
      <c r="G689" s="2">
        <v>686</v>
      </c>
      <c r="H689" s="2">
        <f t="shared" si="71"/>
        <v>-928.23272943804341</v>
      </c>
      <c r="I689" s="2">
        <f t="shared" si="72"/>
        <v>928.23272943804341</v>
      </c>
      <c r="J689" s="2">
        <f t="shared" si="73"/>
        <v>1372</v>
      </c>
      <c r="K689" s="11">
        <f t="shared" si="74"/>
        <v>1856.4654588760868</v>
      </c>
      <c r="L689" s="2">
        <f t="shared" si="75"/>
        <v>372</v>
      </c>
      <c r="M689" s="2">
        <f t="shared" si="76"/>
        <v>3714.5289669403292</v>
      </c>
      <c r="N689" s="2">
        <f t="shared" si="77"/>
        <v>2297208.7716465173</v>
      </c>
    </row>
    <row r="690" spans="7:14" x14ac:dyDescent="0.25">
      <c r="G690" s="2">
        <v>687</v>
      </c>
      <c r="H690" s="2">
        <f t="shared" si="71"/>
        <v>-927.42870345919312</v>
      </c>
      <c r="I690" s="2">
        <f t="shared" si="72"/>
        <v>927.42870345919312</v>
      </c>
      <c r="J690" s="2">
        <f t="shared" si="73"/>
        <v>1374</v>
      </c>
      <c r="K690" s="11">
        <f t="shared" si="74"/>
        <v>1854.8574069183862</v>
      </c>
      <c r="L690" s="2">
        <f t="shared" si="75"/>
        <v>374</v>
      </c>
      <c r="M690" s="2">
        <f t="shared" si="76"/>
        <v>3711.3228657944728</v>
      </c>
      <c r="N690" s="2">
        <f t="shared" si="77"/>
        <v>2300920.0945123117</v>
      </c>
    </row>
    <row r="691" spans="7:14" x14ac:dyDescent="0.25">
      <c r="G691" s="2">
        <v>688</v>
      </c>
      <c r="H691" s="2">
        <f t="shared" si="71"/>
        <v>-926.61966307649652</v>
      </c>
      <c r="I691" s="2">
        <f t="shared" si="72"/>
        <v>926.61966307649652</v>
      </c>
      <c r="J691" s="2">
        <f t="shared" si="73"/>
        <v>1376</v>
      </c>
      <c r="K691" s="11">
        <f t="shared" si="74"/>
        <v>1853.239326152993</v>
      </c>
      <c r="L691" s="2">
        <f t="shared" si="75"/>
        <v>376</v>
      </c>
      <c r="M691" s="2">
        <f t="shared" si="76"/>
        <v>3708.0967330713793</v>
      </c>
      <c r="N691" s="2">
        <f t="shared" si="77"/>
        <v>2304628.1912453831</v>
      </c>
    </row>
    <row r="692" spans="7:14" x14ac:dyDescent="0.25">
      <c r="G692" s="2">
        <v>689</v>
      </c>
      <c r="H692" s="2">
        <f t="shared" si="71"/>
        <v>-925.80559514403456</v>
      </c>
      <c r="I692" s="2">
        <f t="shared" si="72"/>
        <v>925.80559514403456</v>
      </c>
      <c r="J692" s="2">
        <f t="shared" si="73"/>
        <v>1378</v>
      </c>
      <c r="K692" s="11">
        <f t="shared" si="74"/>
        <v>1851.6111902880691</v>
      </c>
      <c r="L692" s="2">
        <f t="shared" si="75"/>
        <v>378</v>
      </c>
      <c r="M692" s="2">
        <f t="shared" si="76"/>
        <v>3704.8505164410622</v>
      </c>
      <c r="N692" s="2">
        <f t="shared" si="77"/>
        <v>2308333.0417618244</v>
      </c>
    </row>
    <row r="693" spans="7:14" x14ac:dyDescent="0.25">
      <c r="G693" s="2">
        <v>690</v>
      </c>
      <c r="H693" s="2">
        <f t="shared" si="71"/>
        <v>-924.98648638777422</v>
      </c>
      <c r="I693" s="2">
        <f t="shared" si="72"/>
        <v>924.98648638777422</v>
      </c>
      <c r="J693" s="2">
        <f t="shared" si="73"/>
        <v>1380</v>
      </c>
      <c r="K693" s="11">
        <f t="shared" si="74"/>
        <v>1849.9729727755484</v>
      </c>
      <c r="L693" s="2">
        <f t="shared" si="75"/>
        <v>380</v>
      </c>
      <c r="M693" s="2">
        <f t="shared" si="76"/>
        <v>3701.5841630636178</v>
      </c>
      <c r="N693" s="2">
        <f t="shared" si="77"/>
        <v>2312034.6259248881</v>
      </c>
    </row>
    <row r="694" spans="7:14" x14ac:dyDescent="0.25">
      <c r="G694" s="2">
        <v>691</v>
      </c>
      <c r="H694" s="2">
        <f t="shared" si="71"/>
        <v>-924.16232340428166</v>
      </c>
      <c r="I694" s="2">
        <f t="shared" si="72"/>
        <v>924.16232340428166</v>
      </c>
      <c r="J694" s="2">
        <f t="shared" si="73"/>
        <v>1382</v>
      </c>
      <c r="K694" s="11">
        <f t="shared" si="74"/>
        <v>1848.3246468085633</v>
      </c>
      <c r="L694" s="2">
        <f t="shared" si="75"/>
        <v>382</v>
      </c>
      <c r="M694" s="2">
        <f t="shared" si="76"/>
        <v>3698.297619584112</v>
      </c>
      <c r="N694" s="2">
        <f t="shared" si="77"/>
        <v>2315732.9235444721</v>
      </c>
    </row>
    <row r="695" spans="7:14" x14ac:dyDescent="0.25">
      <c r="G695" s="2">
        <v>692</v>
      </c>
      <c r="H695" s="2">
        <f t="shared" si="71"/>
        <v>-923.33309265941512</v>
      </c>
      <c r="I695" s="2">
        <f t="shared" si="72"/>
        <v>923.33309265941512</v>
      </c>
      <c r="J695" s="2">
        <f t="shared" si="73"/>
        <v>1384</v>
      </c>
      <c r="K695" s="11">
        <f t="shared" si="74"/>
        <v>1846.6661853188302</v>
      </c>
      <c r="L695" s="2">
        <f t="shared" si="75"/>
        <v>384</v>
      </c>
      <c r="M695" s="2">
        <f t="shared" si="76"/>
        <v>3694.9908321273933</v>
      </c>
      <c r="N695" s="2">
        <f t="shared" si="77"/>
        <v>2319427.9143765992</v>
      </c>
    </row>
    <row r="696" spans="7:14" x14ac:dyDescent="0.25">
      <c r="G696" s="2">
        <v>693</v>
      </c>
      <c r="H696" s="2">
        <f t="shared" si="71"/>
        <v>-922.49878048699884</v>
      </c>
      <c r="I696" s="2">
        <f t="shared" si="72"/>
        <v>922.49878048699884</v>
      </c>
      <c r="J696" s="2">
        <f t="shared" si="73"/>
        <v>1386</v>
      </c>
      <c r="K696" s="11">
        <f t="shared" si="74"/>
        <v>1844.9975609739977</v>
      </c>
      <c r="L696" s="2">
        <f t="shared" si="75"/>
        <v>386</v>
      </c>
      <c r="M696" s="2">
        <f t="shared" si="76"/>
        <v>3691.6637462928279</v>
      </c>
      <c r="N696" s="2">
        <f t="shared" si="77"/>
        <v>2323119.578122892</v>
      </c>
    </row>
    <row r="697" spans="7:14" x14ac:dyDescent="0.25">
      <c r="G697" s="2">
        <v>694</v>
      </c>
      <c r="H697" s="2">
        <f t="shared" si="71"/>
        <v>-921.65937308747641</v>
      </c>
      <c r="I697" s="2">
        <f t="shared" si="72"/>
        <v>921.65937308747641</v>
      </c>
      <c r="J697" s="2">
        <f t="shared" si="73"/>
        <v>1388</v>
      </c>
      <c r="K697" s="11">
        <f t="shared" si="74"/>
        <v>1843.3187461749528</v>
      </c>
      <c r="L697" s="2">
        <f t="shared" si="75"/>
        <v>388</v>
      </c>
      <c r="M697" s="2">
        <f t="shared" si="76"/>
        <v>3688.3163071489507</v>
      </c>
      <c r="N697" s="2">
        <f t="shared" si="77"/>
        <v>2326807.8944300408</v>
      </c>
    </row>
    <row r="698" spans="7:14" x14ac:dyDescent="0.25">
      <c r="G698" s="2">
        <v>695</v>
      </c>
      <c r="H698" s="2">
        <f t="shared" si="71"/>
        <v>-920.81485652654408</v>
      </c>
      <c r="I698" s="2">
        <f t="shared" si="72"/>
        <v>920.81485652654408</v>
      </c>
      <c r="J698" s="2">
        <f t="shared" si="73"/>
        <v>1390</v>
      </c>
      <c r="K698" s="11">
        <f t="shared" si="74"/>
        <v>1841.6297130530882</v>
      </c>
      <c r="L698" s="2">
        <f t="shared" si="75"/>
        <v>390</v>
      </c>
      <c r="M698" s="2">
        <f t="shared" si="76"/>
        <v>3684.948459228041</v>
      </c>
      <c r="N698" s="2">
        <f t="shared" si="77"/>
        <v>2330492.8428892689</v>
      </c>
    </row>
    <row r="699" spans="7:14" x14ac:dyDescent="0.25">
      <c r="G699" s="2">
        <v>696</v>
      </c>
      <c r="H699" s="2">
        <f t="shared" si="71"/>
        <v>-919.96521673376321</v>
      </c>
      <c r="I699" s="2">
        <f t="shared" si="72"/>
        <v>919.96521673376321</v>
      </c>
      <c r="J699" s="2">
        <f t="shared" si="73"/>
        <v>1392</v>
      </c>
      <c r="K699" s="11">
        <f t="shared" si="74"/>
        <v>1839.9304334675264</v>
      </c>
      <c r="L699" s="2">
        <f t="shared" si="75"/>
        <v>392</v>
      </c>
      <c r="M699" s="2">
        <f t="shared" si="76"/>
        <v>3681.5601465206146</v>
      </c>
      <c r="N699" s="2">
        <f t="shared" si="77"/>
        <v>2334174.4030357897</v>
      </c>
    </row>
    <row r="700" spans="7:14" x14ac:dyDescent="0.25">
      <c r="G700" s="2">
        <v>697</v>
      </c>
      <c r="H700" s="2">
        <f t="shared" si="71"/>
        <v>-919.11043950115152</v>
      </c>
      <c r="I700" s="2">
        <f t="shared" si="72"/>
        <v>919.11043950115152</v>
      </c>
      <c r="J700" s="2">
        <f t="shared" si="73"/>
        <v>1394</v>
      </c>
      <c r="K700" s="11">
        <f t="shared" si="74"/>
        <v>1838.220879002303</v>
      </c>
      <c r="L700" s="2">
        <f t="shared" si="75"/>
        <v>394</v>
      </c>
      <c r="M700" s="2">
        <f t="shared" si="76"/>
        <v>3678.1513124698295</v>
      </c>
      <c r="N700" s="2">
        <f t="shared" si="77"/>
        <v>2337852.5543482597</v>
      </c>
    </row>
    <row r="701" spans="7:14" x14ac:dyDescent="0.25">
      <c r="G701" s="2">
        <v>698</v>
      </c>
      <c r="H701" s="2">
        <f t="shared" si="71"/>
        <v>-918.25051048175305</v>
      </c>
      <c r="I701" s="2">
        <f t="shared" si="72"/>
        <v>918.25051048175305</v>
      </c>
      <c r="J701" s="2">
        <f t="shared" si="73"/>
        <v>1396</v>
      </c>
      <c r="K701" s="11">
        <f t="shared" si="74"/>
        <v>1836.5010209635061</v>
      </c>
      <c r="L701" s="2">
        <f t="shared" si="75"/>
        <v>396</v>
      </c>
      <c r="M701" s="2">
        <f t="shared" si="76"/>
        <v>3674.7218999658089</v>
      </c>
      <c r="N701" s="2">
        <f t="shared" si="77"/>
        <v>2341527.2762482255</v>
      </c>
    </row>
    <row r="702" spans="7:14" x14ac:dyDescent="0.25">
      <c r="G702" s="2">
        <v>699</v>
      </c>
      <c r="H702" s="2">
        <f t="shared" si="71"/>
        <v>-917.38541518818579</v>
      </c>
      <c r="I702" s="2">
        <f t="shared" si="72"/>
        <v>917.38541518818579</v>
      </c>
      <c r="J702" s="2">
        <f t="shared" si="73"/>
        <v>1398</v>
      </c>
      <c r="K702" s="11">
        <f t="shared" si="74"/>
        <v>1834.7708303763716</v>
      </c>
      <c r="L702" s="2">
        <f t="shared" si="75"/>
        <v>398</v>
      </c>
      <c r="M702" s="2">
        <f t="shared" si="76"/>
        <v>3671.2718513398777</v>
      </c>
      <c r="N702" s="2">
        <f t="shared" si="77"/>
        <v>2345198.5480995653</v>
      </c>
    </row>
    <row r="703" spans="7:14" x14ac:dyDescent="0.25">
      <c r="G703" s="2">
        <v>700</v>
      </c>
      <c r="H703" s="2">
        <f t="shared" si="71"/>
        <v>-916.51513899116799</v>
      </c>
      <c r="I703" s="2">
        <f t="shared" si="72"/>
        <v>916.51513899116799</v>
      </c>
      <c r="J703" s="2">
        <f t="shared" si="73"/>
        <v>1400</v>
      </c>
      <c r="K703" s="11">
        <f t="shared" si="74"/>
        <v>1833.030277982336</v>
      </c>
      <c r="L703" s="2">
        <f t="shared" si="75"/>
        <v>400</v>
      </c>
      <c r="M703" s="2">
        <f t="shared" si="76"/>
        <v>3667.8011083587076</v>
      </c>
      <c r="N703" s="2">
        <f t="shared" si="77"/>
        <v>2348866.3492079242</v>
      </c>
    </row>
    <row r="704" spans="7:14" x14ac:dyDescent="0.25">
      <c r="G704" s="2">
        <v>701</v>
      </c>
      <c r="H704" s="2">
        <f t="shared" si="71"/>
        <v>-915.63966711802084</v>
      </c>
      <c r="I704" s="2">
        <f t="shared" si="72"/>
        <v>915.63966711802084</v>
      </c>
      <c r="J704" s="2">
        <f t="shared" si="73"/>
        <v>1402</v>
      </c>
      <c r="K704" s="11">
        <f t="shared" si="74"/>
        <v>1831.2793342360417</v>
      </c>
      <c r="L704" s="2">
        <f t="shared" si="75"/>
        <v>402</v>
      </c>
      <c r="M704" s="2">
        <f t="shared" si="76"/>
        <v>3664.3096122183779</v>
      </c>
      <c r="N704" s="2">
        <f t="shared" si="77"/>
        <v>2352530.6588201425</v>
      </c>
    </row>
    <row r="705" spans="7:14" x14ac:dyDescent="0.25">
      <c r="G705" s="2">
        <v>702</v>
      </c>
      <c r="H705" s="2">
        <f t="shared" si="71"/>
        <v>-914.75898465114847</v>
      </c>
      <c r="I705" s="2">
        <f t="shared" si="72"/>
        <v>914.75898465114847</v>
      </c>
      <c r="J705" s="2">
        <f t="shared" si="73"/>
        <v>1404</v>
      </c>
      <c r="K705" s="11">
        <f t="shared" si="74"/>
        <v>1829.5179693022969</v>
      </c>
      <c r="L705" s="2">
        <f t="shared" si="75"/>
        <v>404</v>
      </c>
      <c r="M705" s="2">
        <f t="shared" si="76"/>
        <v>3660.7973035383384</v>
      </c>
      <c r="N705" s="2">
        <f t="shared" si="77"/>
        <v>2356191.4561236808</v>
      </c>
    </row>
    <row r="706" spans="7:14" x14ac:dyDescent="0.25">
      <c r="G706" s="2">
        <v>703</v>
      </c>
      <c r="H706" s="2">
        <f t="shared" si="71"/>
        <v>-913.87307652649451</v>
      </c>
      <c r="I706" s="2">
        <f t="shared" si="72"/>
        <v>913.87307652649451</v>
      </c>
      <c r="J706" s="2">
        <f t="shared" si="73"/>
        <v>1406</v>
      </c>
      <c r="K706" s="11">
        <f t="shared" si="74"/>
        <v>1827.746153052989</v>
      </c>
      <c r="L706" s="2">
        <f t="shared" si="75"/>
        <v>406</v>
      </c>
      <c r="M706" s="2">
        <f t="shared" si="76"/>
        <v>3657.264122355286</v>
      </c>
      <c r="N706" s="2">
        <f t="shared" si="77"/>
        <v>2359848.7202460361</v>
      </c>
    </row>
    <row r="707" spans="7:14" x14ac:dyDescent="0.25">
      <c r="G707" s="2">
        <v>704</v>
      </c>
      <c r="H707" s="2">
        <f t="shared" ref="H707:H770" si="78">IF(G707&lt;POC_BOD,-1*$K707/2,IF(G707=POC_BOD,0,NA()))</f>
        <v>-912.98192753197475</v>
      </c>
      <c r="I707" s="2">
        <f t="shared" ref="I707:I770" si="79">IF(G707&lt;=POC_BOD,$K707/2,IF(G707=POC_BOD,0,NA()))</f>
        <v>912.98192753197475</v>
      </c>
      <c r="J707" s="2">
        <f t="shared" ref="J707:J770" si="80">IF(G707&lt;=POC_BOD,DN_KRUH/POC_BOD*G707,"")</f>
        <v>1408</v>
      </c>
      <c r="K707" s="11">
        <f t="shared" ref="K707:K770" si="81">IF(G707&lt;POC_BOD,2*POWER(POWER(R_KRUH,2)-POWER(ABS(J707-DN_KRUH/2),2),0.5),IF(G707=POC_BOD,0,""))</f>
        <v>1825.9638550639495</v>
      </c>
      <c r="L707" s="2">
        <f t="shared" ref="L707:L770" si="82">IF(G707&lt;=POC_BOD,ABS(J707-DN_KRUH/2),IF(G707=POC_BOD,0,""))</f>
        <v>408</v>
      </c>
      <c r="M707" s="2">
        <f t="shared" si="76"/>
        <v>3653.7100081169383</v>
      </c>
      <c r="N707" s="2">
        <f t="shared" si="77"/>
        <v>2363502.430254153</v>
      </c>
    </row>
    <row r="708" spans="7:14" x14ac:dyDescent="0.25">
      <c r="G708" s="2">
        <v>705</v>
      </c>
      <c r="H708" s="2">
        <f t="shared" si="78"/>
        <v>-912.08552230588555</v>
      </c>
      <c r="I708" s="2">
        <f t="shared" si="79"/>
        <v>912.08552230588555</v>
      </c>
      <c r="J708" s="2">
        <f t="shared" si="80"/>
        <v>1410</v>
      </c>
      <c r="K708" s="11">
        <f t="shared" si="81"/>
        <v>1824.1710446117711</v>
      </c>
      <c r="L708" s="2">
        <f t="shared" si="82"/>
        <v>410</v>
      </c>
      <c r="M708" s="2">
        <f t="shared" ref="M708:M771" si="83">IF(G707&lt;=POC_BOD,(K707+K708)/2*(J708-J707),"")</f>
        <v>3650.1348996757206</v>
      </c>
      <c r="N708" s="2">
        <f t="shared" ref="N708:N771" si="84">IF(G707&lt;=POC_BOD,((K707+K708)/2*(J708-J707))+N707,"")</f>
        <v>2367152.5651538288</v>
      </c>
    </row>
    <row r="709" spans="7:14" x14ac:dyDescent="0.25">
      <c r="G709" s="2">
        <v>706</v>
      </c>
      <c r="H709" s="2">
        <f t="shared" si="78"/>
        <v>-911.18384533528683</v>
      </c>
      <c r="I709" s="2">
        <f t="shared" si="79"/>
        <v>911.18384533528683</v>
      </c>
      <c r="J709" s="2">
        <f t="shared" si="80"/>
        <v>1412</v>
      </c>
      <c r="K709" s="11">
        <f t="shared" si="81"/>
        <v>1822.3676906705737</v>
      </c>
      <c r="L709" s="2">
        <f t="shared" si="82"/>
        <v>412</v>
      </c>
      <c r="M709" s="2">
        <f t="shared" si="83"/>
        <v>3646.5387352823445</v>
      </c>
      <c r="N709" s="2">
        <f t="shared" si="84"/>
        <v>2370799.103889111</v>
      </c>
    </row>
    <row r="710" spans="7:14" x14ac:dyDescent="0.25">
      <c r="G710" s="2">
        <v>707</v>
      </c>
      <c r="H710" s="2">
        <f t="shared" si="78"/>
        <v>-910.2768809543611</v>
      </c>
      <c r="I710" s="2">
        <f t="shared" si="79"/>
        <v>910.2768809543611</v>
      </c>
      <c r="J710" s="2">
        <f t="shared" si="80"/>
        <v>1414</v>
      </c>
      <c r="K710" s="11">
        <f t="shared" si="81"/>
        <v>1820.5537619087222</v>
      </c>
      <c r="L710" s="2">
        <f t="shared" si="82"/>
        <v>414</v>
      </c>
      <c r="M710" s="2">
        <f t="shared" si="83"/>
        <v>3642.9214525792959</v>
      </c>
      <c r="N710" s="2">
        <f t="shared" si="84"/>
        <v>2374442.0253416901</v>
      </c>
    </row>
    <row r="711" spans="7:14" x14ac:dyDescent="0.25">
      <c r="G711" s="2">
        <v>708</v>
      </c>
      <c r="H711" s="2">
        <f t="shared" si="78"/>
        <v>-909.36461334274497</v>
      </c>
      <c r="I711" s="2">
        <f t="shared" si="79"/>
        <v>909.36461334274497</v>
      </c>
      <c r="J711" s="2">
        <f t="shared" si="80"/>
        <v>1416</v>
      </c>
      <c r="K711" s="11">
        <f t="shared" si="81"/>
        <v>1818.7292266854899</v>
      </c>
      <c r="L711" s="2">
        <f t="shared" si="82"/>
        <v>416</v>
      </c>
      <c r="M711" s="2">
        <f t="shared" si="83"/>
        <v>3639.2829885942119</v>
      </c>
      <c r="N711" s="2">
        <f t="shared" si="84"/>
        <v>2378081.3083302844</v>
      </c>
    </row>
    <row r="712" spans="7:14" x14ac:dyDescent="0.25">
      <c r="G712" s="2">
        <v>709</v>
      </c>
      <c r="H712" s="2">
        <f t="shared" si="78"/>
        <v>-908.44702652383648</v>
      </c>
      <c r="I712" s="2">
        <f t="shared" si="79"/>
        <v>908.44702652383648</v>
      </c>
      <c r="J712" s="2">
        <f t="shared" si="80"/>
        <v>1418</v>
      </c>
      <c r="K712" s="11">
        <f t="shared" si="81"/>
        <v>1816.894053047673</v>
      </c>
      <c r="L712" s="2">
        <f t="shared" si="82"/>
        <v>418</v>
      </c>
      <c r="M712" s="2">
        <f t="shared" si="83"/>
        <v>3635.6232797331631</v>
      </c>
      <c r="N712" s="2">
        <f t="shared" si="84"/>
        <v>2381716.9316100175</v>
      </c>
    </row>
    <row r="713" spans="7:14" x14ac:dyDescent="0.25">
      <c r="G713" s="2">
        <v>710</v>
      </c>
      <c r="H713" s="2">
        <f t="shared" si="78"/>
        <v>-907.52410436307423</v>
      </c>
      <c r="I713" s="2">
        <f t="shared" si="79"/>
        <v>907.52410436307423</v>
      </c>
      <c r="J713" s="2">
        <f t="shared" si="80"/>
        <v>1420</v>
      </c>
      <c r="K713" s="11">
        <f t="shared" si="81"/>
        <v>1815.0482087261485</v>
      </c>
      <c r="L713" s="2">
        <f t="shared" si="82"/>
        <v>420</v>
      </c>
      <c r="M713" s="2">
        <f t="shared" si="83"/>
        <v>3631.9422617738214</v>
      </c>
      <c r="N713" s="2">
        <f t="shared" si="84"/>
        <v>2385348.8738717912</v>
      </c>
    </row>
    <row r="714" spans="7:14" x14ac:dyDescent="0.25">
      <c r="G714" s="2">
        <v>711</v>
      </c>
      <c r="H714" s="2">
        <f t="shared" si="78"/>
        <v>-906.5958305661901</v>
      </c>
      <c r="I714" s="2">
        <f t="shared" si="79"/>
        <v>906.5958305661901</v>
      </c>
      <c r="J714" s="2">
        <f t="shared" si="80"/>
        <v>1422</v>
      </c>
      <c r="K714" s="11">
        <f t="shared" si="81"/>
        <v>1813.1916611323802</v>
      </c>
      <c r="L714" s="2">
        <f t="shared" si="82"/>
        <v>422</v>
      </c>
      <c r="M714" s="2">
        <f t="shared" si="83"/>
        <v>3628.2398698585284</v>
      </c>
      <c r="N714" s="2">
        <f t="shared" si="84"/>
        <v>2388977.1137416498</v>
      </c>
    </row>
    <row r="715" spans="7:14" x14ac:dyDescent="0.25">
      <c r="G715" s="2">
        <v>712</v>
      </c>
      <c r="H715" s="2">
        <f t="shared" si="78"/>
        <v>-905.66218867743396</v>
      </c>
      <c r="I715" s="2">
        <f t="shared" si="79"/>
        <v>905.66218867743396</v>
      </c>
      <c r="J715" s="2">
        <f t="shared" si="80"/>
        <v>1424</v>
      </c>
      <c r="K715" s="11">
        <f t="shared" si="81"/>
        <v>1811.3243773548679</v>
      </c>
      <c r="L715" s="2">
        <f t="shared" si="82"/>
        <v>424</v>
      </c>
      <c r="M715" s="2">
        <f t="shared" si="83"/>
        <v>3624.5160384872479</v>
      </c>
      <c r="N715" s="2">
        <f t="shared" si="84"/>
        <v>2392601.629780137</v>
      </c>
    </row>
    <row r="716" spans="7:14" x14ac:dyDescent="0.25">
      <c r="G716" s="2">
        <v>713</v>
      </c>
      <c r="H716" s="2">
        <f t="shared" si="78"/>
        <v>-904.72316207777067</v>
      </c>
      <c r="I716" s="2">
        <f t="shared" si="79"/>
        <v>904.72316207777067</v>
      </c>
      <c r="J716" s="2">
        <f t="shared" si="80"/>
        <v>1426</v>
      </c>
      <c r="K716" s="11">
        <f t="shared" si="81"/>
        <v>1809.4463241555413</v>
      </c>
      <c r="L716" s="2">
        <f t="shared" si="82"/>
        <v>426</v>
      </c>
      <c r="M716" s="2">
        <f t="shared" si="83"/>
        <v>3620.7707015104093</v>
      </c>
      <c r="N716" s="2">
        <f t="shared" si="84"/>
        <v>2396222.4004816473</v>
      </c>
    </row>
    <row r="717" spans="7:14" x14ac:dyDescent="0.25">
      <c r="G717" s="2">
        <v>714</v>
      </c>
      <c r="H717" s="2">
        <f t="shared" si="78"/>
        <v>-903.77873398304746</v>
      </c>
      <c r="I717" s="2">
        <f t="shared" si="79"/>
        <v>903.77873398304746</v>
      </c>
      <c r="J717" s="2">
        <f t="shared" si="80"/>
        <v>1428</v>
      </c>
      <c r="K717" s="11">
        <f t="shared" si="81"/>
        <v>1807.5574679660949</v>
      </c>
      <c r="L717" s="2">
        <f t="shared" si="82"/>
        <v>428</v>
      </c>
      <c r="M717" s="2">
        <f t="shared" si="83"/>
        <v>3617.0037921216363</v>
      </c>
      <c r="N717" s="2">
        <f t="shared" si="84"/>
        <v>2399839.4042737689</v>
      </c>
    </row>
    <row r="718" spans="7:14" x14ac:dyDescent="0.25">
      <c r="G718" s="2">
        <v>715</v>
      </c>
      <c r="H718" s="2">
        <f t="shared" si="78"/>
        <v>-902.82888744213324</v>
      </c>
      <c r="I718" s="2">
        <f t="shared" si="79"/>
        <v>902.82888744213324</v>
      </c>
      <c r="J718" s="2">
        <f t="shared" si="80"/>
        <v>1430</v>
      </c>
      <c r="K718" s="11">
        <f t="shared" si="81"/>
        <v>1805.6577748842665</v>
      </c>
      <c r="L718" s="2">
        <f t="shared" si="82"/>
        <v>430</v>
      </c>
      <c r="M718" s="2">
        <f t="shared" si="83"/>
        <v>3613.2152428503614</v>
      </c>
      <c r="N718" s="2">
        <f t="shared" si="84"/>
        <v>2403452.6195166195</v>
      </c>
    </row>
    <row r="719" spans="7:14" x14ac:dyDescent="0.25">
      <c r="G719" s="2">
        <v>716</v>
      </c>
      <c r="H719" s="2">
        <f t="shared" si="78"/>
        <v>-901.87360533502692</v>
      </c>
      <c r="I719" s="2">
        <f t="shared" si="79"/>
        <v>901.87360533502692</v>
      </c>
      <c r="J719" s="2">
        <f t="shared" si="80"/>
        <v>1432</v>
      </c>
      <c r="K719" s="11">
        <f t="shared" si="81"/>
        <v>1803.7472106700538</v>
      </c>
      <c r="L719" s="2">
        <f t="shared" si="82"/>
        <v>432</v>
      </c>
      <c r="M719" s="2">
        <f t="shared" si="83"/>
        <v>3609.4049855543203</v>
      </c>
      <c r="N719" s="2">
        <f t="shared" si="84"/>
        <v>2407062.024502174</v>
      </c>
    </row>
    <row r="720" spans="7:14" x14ac:dyDescent="0.25">
      <c r="G720" s="2">
        <v>717</v>
      </c>
      <c r="H720" s="2">
        <f t="shared" si="78"/>
        <v>-900.91287037093662</v>
      </c>
      <c r="I720" s="2">
        <f t="shared" si="79"/>
        <v>900.91287037093662</v>
      </c>
      <c r="J720" s="2">
        <f t="shared" si="80"/>
        <v>1434</v>
      </c>
      <c r="K720" s="11">
        <f t="shared" si="81"/>
        <v>1801.8257407418732</v>
      </c>
      <c r="L720" s="2">
        <f t="shared" si="82"/>
        <v>434</v>
      </c>
      <c r="M720" s="2">
        <f t="shared" si="83"/>
        <v>3605.5729514119271</v>
      </c>
      <c r="N720" s="2">
        <f t="shared" si="84"/>
        <v>2410667.5974535858</v>
      </c>
    </row>
    <row r="721" spans="7:14" x14ac:dyDescent="0.25">
      <c r="G721" s="2">
        <v>718</v>
      </c>
      <c r="H721" s="2">
        <f t="shared" si="78"/>
        <v>-899.94666508632611</v>
      </c>
      <c r="I721" s="2">
        <f t="shared" si="79"/>
        <v>899.94666508632611</v>
      </c>
      <c r="J721" s="2">
        <f t="shared" si="80"/>
        <v>1436</v>
      </c>
      <c r="K721" s="11">
        <f t="shared" si="81"/>
        <v>1799.8933301726522</v>
      </c>
      <c r="L721" s="2">
        <f t="shared" si="82"/>
        <v>436</v>
      </c>
      <c r="M721" s="2">
        <f t="shared" si="83"/>
        <v>3601.7190709145252</v>
      </c>
      <c r="N721" s="2">
        <f t="shared" si="84"/>
        <v>2414269.3165245005</v>
      </c>
    </row>
    <row r="722" spans="7:14" x14ac:dyDescent="0.25">
      <c r="G722" s="2">
        <v>719</v>
      </c>
      <c r="H722" s="2">
        <f t="shared" si="78"/>
        <v>-898.97497184293184</v>
      </c>
      <c r="I722" s="2">
        <f t="shared" si="79"/>
        <v>898.97497184293184</v>
      </c>
      <c r="J722" s="2">
        <f t="shared" si="80"/>
        <v>1438</v>
      </c>
      <c r="K722" s="11">
        <f t="shared" si="81"/>
        <v>1797.9499436858637</v>
      </c>
      <c r="L722" s="2">
        <f t="shared" si="82"/>
        <v>438</v>
      </c>
      <c r="M722" s="2">
        <f t="shared" si="83"/>
        <v>3597.8432738585161</v>
      </c>
      <c r="N722" s="2">
        <f t="shared" si="84"/>
        <v>2417867.159798359</v>
      </c>
    </row>
    <row r="723" spans="7:14" x14ac:dyDescent="0.25">
      <c r="G723" s="2">
        <v>720</v>
      </c>
      <c r="H723" s="2">
        <f t="shared" si="78"/>
        <v>-897.99777282574598</v>
      </c>
      <c r="I723" s="2">
        <f t="shared" si="79"/>
        <v>897.99777282574598</v>
      </c>
      <c r="J723" s="2">
        <f t="shared" si="80"/>
        <v>1440</v>
      </c>
      <c r="K723" s="11">
        <f t="shared" si="81"/>
        <v>1795.995545651492</v>
      </c>
      <c r="L723" s="2">
        <f t="shared" si="82"/>
        <v>440</v>
      </c>
      <c r="M723" s="2">
        <f t="shared" si="83"/>
        <v>3593.9454893373559</v>
      </c>
      <c r="N723" s="2">
        <f t="shared" si="84"/>
        <v>2421461.1052876962</v>
      </c>
    </row>
    <row r="724" spans="7:14" x14ac:dyDescent="0.25">
      <c r="G724" s="2">
        <v>721</v>
      </c>
      <c r="H724" s="2">
        <f t="shared" si="78"/>
        <v>-897.01505004096782</v>
      </c>
      <c r="I724" s="2">
        <f t="shared" si="79"/>
        <v>897.01505004096782</v>
      </c>
      <c r="J724" s="2">
        <f t="shared" si="80"/>
        <v>1442</v>
      </c>
      <c r="K724" s="11">
        <f t="shared" si="81"/>
        <v>1794.0301000819356</v>
      </c>
      <c r="L724" s="2">
        <f t="shared" si="82"/>
        <v>442</v>
      </c>
      <c r="M724" s="2">
        <f t="shared" si="83"/>
        <v>3590.0256457334276</v>
      </c>
      <c r="N724" s="2">
        <f t="shared" si="84"/>
        <v>2425051.1309334296</v>
      </c>
    </row>
    <row r="725" spans="7:14" x14ac:dyDescent="0.25">
      <c r="G725" s="2">
        <v>722</v>
      </c>
      <c r="H725" s="2">
        <f t="shared" si="78"/>
        <v>-896.02678531392132</v>
      </c>
      <c r="I725" s="2">
        <f t="shared" si="79"/>
        <v>896.02678531392132</v>
      </c>
      <c r="J725" s="2">
        <f t="shared" si="80"/>
        <v>1444</v>
      </c>
      <c r="K725" s="11">
        <f t="shared" si="81"/>
        <v>1792.0535706278426</v>
      </c>
      <c r="L725" s="2">
        <f t="shared" si="82"/>
        <v>444</v>
      </c>
      <c r="M725" s="2">
        <f t="shared" si="83"/>
        <v>3586.0836707097783</v>
      </c>
      <c r="N725" s="2">
        <f t="shared" si="84"/>
        <v>2428637.2146041393</v>
      </c>
    </row>
    <row r="726" spans="7:14" x14ac:dyDescent="0.25">
      <c r="G726" s="2">
        <v>723</v>
      </c>
      <c r="H726" s="2">
        <f t="shared" si="78"/>
        <v>-895.03296028693831</v>
      </c>
      <c r="I726" s="2">
        <f t="shared" si="79"/>
        <v>895.03296028693831</v>
      </c>
      <c r="J726" s="2">
        <f t="shared" si="80"/>
        <v>1446</v>
      </c>
      <c r="K726" s="11">
        <f t="shared" si="81"/>
        <v>1790.0659205738766</v>
      </c>
      <c r="L726" s="2">
        <f t="shared" si="82"/>
        <v>446</v>
      </c>
      <c r="M726" s="2">
        <f t="shared" si="83"/>
        <v>3582.119491201719</v>
      </c>
      <c r="N726" s="2">
        <f t="shared" si="84"/>
        <v>2432219.3340953412</v>
      </c>
    </row>
    <row r="727" spans="7:14" x14ac:dyDescent="0.25">
      <c r="G727" s="2">
        <v>724</v>
      </c>
      <c r="H727" s="2">
        <f t="shared" si="78"/>
        <v>-894.03355641720736</v>
      </c>
      <c r="I727" s="2">
        <f t="shared" si="79"/>
        <v>894.03355641720736</v>
      </c>
      <c r="J727" s="2">
        <f t="shared" si="80"/>
        <v>1448</v>
      </c>
      <c r="K727" s="11">
        <f t="shared" si="81"/>
        <v>1788.0671128344147</v>
      </c>
      <c r="L727" s="2">
        <f t="shared" si="82"/>
        <v>448</v>
      </c>
      <c r="M727" s="2">
        <f t="shared" si="83"/>
        <v>3578.1330334082913</v>
      </c>
      <c r="N727" s="2">
        <f t="shared" si="84"/>
        <v>2435797.4671287495</v>
      </c>
    </row>
    <row r="728" spans="7:14" x14ac:dyDescent="0.25">
      <c r="G728" s="2">
        <v>725</v>
      </c>
      <c r="H728" s="2">
        <f t="shared" si="78"/>
        <v>-893.02855497458756</v>
      </c>
      <c r="I728" s="2">
        <f t="shared" si="79"/>
        <v>893.02855497458756</v>
      </c>
      <c r="J728" s="2">
        <f t="shared" si="80"/>
        <v>1450</v>
      </c>
      <c r="K728" s="11">
        <f t="shared" si="81"/>
        <v>1786.0571099491751</v>
      </c>
      <c r="L728" s="2">
        <f t="shared" si="82"/>
        <v>450</v>
      </c>
      <c r="M728" s="2">
        <f t="shared" si="83"/>
        <v>3574.1242227835901</v>
      </c>
      <c r="N728" s="2">
        <f t="shared" si="84"/>
        <v>2439371.5913515328</v>
      </c>
    </row>
    <row r="729" spans="7:14" x14ac:dyDescent="0.25">
      <c r="G729" s="2">
        <v>726</v>
      </c>
      <c r="H729" s="2">
        <f t="shared" si="78"/>
        <v>-892.01793703938483</v>
      </c>
      <c r="I729" s="2">
        <f t="shared" si="79"/>
        <v>892.01793703938483</v>
      </c>
      <c r="J729" s="2">
        <f t="shared" si="80"/>
        <v>1452</v>
      </c>
      <c r="K729" s="11">
        <f t="shared" si="81"/>
        <v>1784.0358740787697</v>
      </c>
      <c r="L729" s="2">
        <f t="shared" si="82"/>
        <v>452</v>
      </c>
      <c r="M729" s="2">
        <f t="shared" si="83"/>
        <v>3570.092984027945</v>
      </c>
      <c r="N729" s="2">
        <f t="shared" si="84"/>
        <v>2442941.684335561</v>
      </c>
    </row>
    <row r="730" spans="7:14" x14ac:dyDescent="0.25">
      <c r="G730" s="2">
        <v>727</v>
      </c>
      <c r="H730" s="2">
        <f t="shared" si="78"/>
        <v>-891.00168350009301</v>
      </c>
      <c r="I730" s="2">
        <f t="shared" si="79"/>
        <v>891.00168350009301</v>
      </c>
      <c r="J730" s="2">
        <f t="shared" si="80"/>
        <v>1454</v>
      </c>
      <c r="K730" s="11">
        <f t="shared" si="81"/>
        <v>1782.003367000186</v>
      </c>
      <c r="L730" s="2">
        <f t="shared" si="82"/>
        <v>454</v>
      </c>
      <c r="M730" s="2">
        <f t="shared" si="83"/>
        <v>3566.0392410789555</v>
      </c>
      <c r="N730" s="2">
        <f t="shared" si="84"/>
        <v>2446507.7235766398</v>
      </c>
    </row>
    <row r="731" spans="7:14" x14ac:dyDescent="0.25">
      <c r="G731" s="2">
        <v>728</v>
      </c>
      <c r="H731" s="2">
        <f t="shared" si="78"/>
        <v>-889.97977505109634</v>
      </c>
      <c r="I731" s="2">
        <f t="shared" si="79"/>
        <v>889.97977505109634</v>
      </c>
      <c r="J731" s="2">
        <f t="shared" si="80"/>
        <v>1456</v>
      </c>
      <c r="K731" s="11">
        <f t="shared" si="81"/>
        <v>1779.9595501021927</v>
      </c>
      <c r="L731" s="2">
        <f t="shared" si="82"/>
        <v>456</v>
      </c>
      <c r="M731" s="2">
        <f t="shared" si="83"/>
        <v>3561.9629171023789</v>
      </c>
      <c r="N731" s="2">
        <f t="shared" si="84"/>
        <v>2450069.6864937423</v>
      </c>
    </row>
    <row r="732" spans="7:14" x14ac:dyDescent="0.25">
      <c r="G732" s="2">
        <v>729</v>
      </c>
      <c r="H732" s="2">
        <f t="shared" si="78"/>
        <v>-888.95219219033368</v>
      </c>
      <c r="I732" s="2">
        <f t="shared" si="79"/>
        <v>888.95219219033368</v>
      </c>
      <c r="J732" s="2">
        <f t="shared" si="80"/>
        <v>1458</v>
      </c>
      <c r="K732" s="11">
        <f t="shared" si="81"/>
        <v>1777.9043843806674</v>
      </c>
      <c r="L732" s="2">
        <f t="shared" si="82"/>
        <v>458</v>
      </c>
      <c r="M732" s="2">
        <f t="shared" si="83"/>
        <v>3557.8639344828598</v>
      </c>
      <c r="N732" s="2">
        <f t="shared" si="84"/>
        <v>2453627.5504282252</v>
      </c>
    </row>
    <row r="733" spans="7:14" x14ac:dyDescent="0.25">
      <c r="G733" s="2">
        <v>730</v>
      </c>
      <c r="H733" s="2">
        <f t="shared" si="78"/>
        <v>-887.91891521692457</v>
      </c>
      <c r="I733" s="2">
        <f t="shared" si="79"/>
        <v>887.91891521692457</v>
      </c>
      <c r="J733" s="2">
        <f t="shared" si="80"/>
        <v>1460</v>
      </c>
      <c r="K733" s="11">
        <f t="shared" si="81"/>
        <v>1775.8378304338491</v>
      </c>
      <c r="L733" s="2">
        <f t="shared" si="82"/>
        <v>460</v>
      </c>
      <c r="M733" s="2">
        <f t="shared" si="83"/>
        <v>3553.7422148145165</v>
      </c>
      <c r="N733" s="2">
        <f t="shared" si="84"/>
        <v>2457181.2926430395</v>
      </c>
    </row>
    <row r="734" spans="7:14" x14ac:dyDescent="0.25">
      <c r="G734" s="2">
        <v>731</v>
      </c>
      <c r="H734" s="2">
        <f t="shared" si="78"/>
        <v>-886.87992422875379</v>
      </c>
      <c r="I734" s="2">
        <f t="shared" si="79"/>
        <v>886.87992422875379</v>
      </c>
      <c r="J734" s="2">
        <f t="shared" si="80"/>
        <v>1462</v>
      </c>
      <c r="K734" s="11">
        <f t="shared" si="81"/>
        <v>1773.7598484575076</v>
      </c>
      <c r="L734" s="2">
        <f t="shared" si="82"/>
        <v>462</v>
      </c>
      <c r="M734" s="2">
        <f t="shared" si="83"/>
        <v>3549.5976788913567</v>
      </c>
      <c r="N734" s="2">
        <f t="shared" si="84"/>
        <v>2460730.8903219309</v>
      </c>
    </row>
    <row r="735" spans="7:14" x14ac:dyDescent="0.25">
      <c r="G735" s="2">
        <v>732</v>
      </c>
      <c r="H735" s="2">
        <f t="shared" si="78"/>
        <v>-885.83519912001691</v>
      </c>
      <c r="I735" s="2">
        <f t="shared" si="79"/>
        <v>885.83519912001691</v>
      </c>
      <c r="J735" s="2">
        <f t="shared" si="80"/>
        <v>1464</v>
      </c>
      <c r="K735" s="11">
        <f t="shared" si="81"/>
        <v>1771.6703982400338</v>
      </c>
      <c r="L735" s="2">
        <f t="shared" si="82"/>
        <v>464</v>
      </c>
      <c r="M735" s="2">
        <f t="shared" si="83"/>
        <v>3545.4302466975414</v>
      </c>
      <c r="N735" s="2">
        <f t="shared" si="84"/>
        <v>2464276.3205686286</v>
      </c>
    </row>
    <row r="736" spans="7:14" x14ac:dyDescent="0.25">
      <c r="G736" s="2">
        <v>733</v>
      </c>
      <c r="H736" s="2">
        <f t="shared" si="78"/>
        <v>-884.7847195787233</v>
      </c>
      <c r="I736" s="2">
        <f t="shared" si="79"/>
        <v>884.7847195787233</v>
      </c>
      <c r="J736" s="2">
        <f t="shared" si="80"/>
        <v>1466</v>
      </c>
      <c r="K736" s="11">
        <f t="shared" si="81"/>
        <v>1769.5694391574466</v>
      </c>
      <c r="L736" s="2">
        <f t="shared" si="82"/>
        <v>466</v>
      </c>
      <c r="M736" s="2">
        <f t="shared" si="83"/>
        <v>3541.2398373974802</v>
      </c>
      <c r="N736" s="2">
        <f t="shared" si="84"/>
        <v>2467817.560406026</v>
      </c>
    </row>
    <row r="737" spans="7:14" x14ac:dyDescent="0.25">
      <c r="G737" s="2">
        <v>734</v>
      </c>
      <c r="H737" s="2">
        <f t="shared" si="78"/>
        <v>-883.72846508415694</v>
      </c>
      <c r="I737" s="2">
        <f t="shared" si="79"/>
        <v>883.72846508415694</v>
      </c>
      <c r="J737" s="2">
        <f t="shared" si="80"/>
        <v>1468</v>
      </c>
      <c r="K737" s="11">
        <f t="shared" si="81"/>
        <v>1767.4569301683139</v>
      </c>
      <c r="L737" s="2">
        <f t="shared" si="82"/>
        <v>468</v>
      </c>
      <c r="M737" s="2">
        <f t="shared" si="83"/>
        <v>3537.0263693257602</v>
      </c>
      <c r="N737" s="2">
        <f t="shared" si="84"/>
        <v>2471354.5867753518</v>
      </c>
    </row>
    <row r="738" spans="7:14" x14ac:dyDescent="0.25">
      <c r="G738" s="2">
        <v>735</v>
      </c>
      <c r="H738" s="2">
        <f t="shared" si="78"/>
        <v>-882.66641490429436</v>
      </c>
      <c r="I738" s="2">
        <f t="shared" si="79"/>
        <v>882.66641490429436</v>
      </c>
      <c r="J738" s="2">
        <f t="shared" si="80"/>
        <v>1470</v>
      </c>
      <c r="K738" s="11">
        <f t="shared" si="81"/>
        <v>1765.3328298085887</v>
      </c>
      <c r="L738" s="2">
        <f t="shared" si="82"/>
        <v>470</v>
      </c>
      <c r="M738" s="2">
        <f t="shared" si="83"/>
        <v>3532.7897599769026</v>
      </c>
      <c r="N738" s="2">
        <f t="shared" si="84"/>
        <v>2474887.3765353286</v>
      </c>
    </row>
    <row r="739" spans="7:14" x14ac:dyDescent="0.25">
      <c r="G739" s="2">
        <v>736</v>
      </c>
      <c r="H739" s="2">
        <f t="shared" si="78"/>
        <v>-881.59854809317824</v>
      </c>
      <c r="I739" s="2">
        <f t="shared" si="79"/>
        <v>881.59854809317824</v>
      </c>
      <c r="J739" s="2">
        <f t="shared" si="80"/>
        <v>1472</v>
      </c>
      <c r="K739" s="11">
        <f t="shared" si="81"/>
        <v>1763.1970961863565</v>
      </c>
      <c r="L739" s="2">
        <f t="shared" si="82"/>
        <v>472</v>
      </c>
      <c r="M739" s="2">
        <f t="shared" si="83"/>
        <v>3528.5299259949452</v>
      </c>
      <c r="N739" s="2">
        <f t="shared" si="84"/>
        <v>2478415.9064613236</v>
      </c>
    </row>
    <row r="740" spans="7:14" x14ac:dyDescent="0.25">
      <c r="G740" s="2">
        <v>737</v>
      </c>
      <c r="H740" s="2">
        <f t="shared" si="78"/>
        <v>-880.52484348824589</v>
      </c>
      <c r="I740" s="2">
        <f t="shared" si="79"/>
        <v>880.52484348824589</v>
      </c>
      <c r="J740" s="2">
        <f t="shared" si="80"/>
        <v>1474</v>
      </c>
      <c r="K740" s="11">
        <f t="shared" si="81"/>
        <v>1761.0496869764918</v>
      </c>
      <c r="L740" s="2">
        <f t="shared" si="82"/>
        <v>474</v>
      </c>
      <c r="M740" s="2">
        <f t="shared" si="83"/>
        <v>3524.2467831628483</v>
      </c>
      <c r="N740" s="2">
        <f t="shared" si="84"/>
        <v>2481940.1532444865</v>
      </c>
    </row>
    <row r="741" spans="7:14" x14ac:dyDescent="0.25">
      <c r="G741" s="2">
        <v>738</v>
      </c>
      <c r="H741" s="2">
        <f t="shared" si="78"/>
        <v>-879.44527970761203</v>
      </c>
      <c r="I741" s="2">
        <f t="shared" si="79"/>
        <v>879.44527970761203</v>
      </c>
      <c r="J741" s="2">
        <f t="shared" si="80"/>
        <v>1476</v>
      </c>
      <c r="K741" s="11">
        <f t="shared" si="81"/>
        <v>1758.8905594152241</v>
      </c>
      <c r="L741" s="2">
        <f t="shared" si="82"/>
        <v>476</v>
      </c>
      <c r="M741" s="2">
        <f t="shared" si="83"/>
        <v>3519.9402463917158</v>
      </c>
      <c r="N741" s="2">
        <f t="shared" si="84"/>
        <v>2485460.0934908781</v>
      </c>
    </row>
    <row r="742" spans="7:14" x14ac:dyDescent="0.25">
      <c r="G742" s="2">
        <v>739</v>
      </c>
      <c r="H742" s="2">
        <f t="shared" si="78"/>
        <v>-878.35983514730458</v>
      </c>
      <c r="I742" s="2">
        <f t="shared" si="79"/>
        <v>878.35983514730458</v>
      </c>
      <c r="J742" s="2">
        <f t="shared" si="80"/>
        <v>1478</v>
      </c>
      <c r="K742" s="11">
        <f t="shared" si="81"/>
        <v>1756.7196702946092</v>
      </c>
      <c r="L742" s="2">
        <f t="shared" si="82"/>
        <v>478</v>
      </c>
      <c r="M742" s="2">
        <f t="shared" si="83"/>
        <v>3515.6102297098332</v>
      </c>
      <c r="N742" s="2">
        <f t="shared" si="84"/>
        <v>2488975.7037205878</v>
      </c>
    </row>
    <row r="743" spans="7:14" x14ac:dyDescent="0.25">
      <c r="G743" s="2">
        <v>740</v>
      </c>
      <c r="H743" s="2">
        <f t="shared" si="78"/>
        <v>-877.2684879784523</v>
      </c>
      <c r="I743" s="2">
        <f t="shared" si="79"/>
        <v>877.2684879784523</v>
      </c>
      <c r="J743" s="2">
        <f t="shared" si="80"/>
        <v>1480</v>
      </c>
      <c r="K743" s="11">
        <f t="shared" si="81"/>
        <v>1754.5369759569046</v>
      </c>
      <c r="L743" s="2">
        <f t="shared" si="82"/>
        <v>480</v>
      </c>
      <c r="M743" s="2">
        <f t="shared" si="83"/>
        <v>3511.2566462515138</v>
      </c>
      <c r="N743" s="2">
        <f t="shared" si="84"/>
        <v>2492486.9603668391</v>
      </c>
    </row>
    <row r="744" spans="7:14" x14ac:dyDescent="0.25">
      <c r="G744" s="2">
        <v>741</v>
      </c>
      <c r="H744" s="2">
        <f t="shared" si="78"/>
        <v>-876.17121614442465</v>
      </c>
      <c r="I744" s="2">
        <f t="shared" si="79"/>
        <v>876.17121614442465</v>
      </c>
      <c r="J744" s="2">
        <f t="shared" si="80"/>
        <v>1482</v>
      </c>
      <c r="K744" s="11">
        <f t="shared" si="81"/>
        <v>1752.3424322888493</v>
      </c>
      <c r="L744" s="2">
        <f t="shared" si="82"/>
        <v>482</v>
      </c>
      <c r="M744" s="2">
        <f t="shared" si="83"/>
        <v>3506.8794082457539</v>
      </c>
      <c r="N744" s="2">
        <f t="shared" si="84"/>
        <v>2495993.839775085</v>
      </c>
    </row>
    <row r="745" spans="7:14" x14ac:dyDescent="0.25">
      <c r="G745" s="2">
        <v>742</v>
      </c>
      <c r="H745" s="2">
        <f t="shared" si="78"/>
        <v>-875.06799735791958</v>
      </c>
      <c r="I745" s="2">
        <f t="shared" si="79"/>
        <v>875.06799735791958</v>
      </c>
      <c r="J745" s="2">
        <f t="shared" si="80"/>
        <v>1484</v>
      </c>
      <c r="K745" s="11">
        <f t="shared" si="81"/>
        <v>1750.1359947158392</v>
      </c>
      <c r="L745" s="2">
        <f t="shared" si="82"/>
        <v>484</v>
      </c>
      <c r="M745" s="2">
        <f t="shared" si="83"/>
        <v>3502.4784270046885</v>
      </c>
      <c r="N745" s="2">
        <f t="shared" si="84"/>
        <v>2499496.3182020895</v>
      </c>
    </row>
    <row r="746" spans="7:14" x14ac:dyDescent="0.25">
      <c r="G746" s="2">
        <v>743</v>
      </c>
      <c r="H746" s="2">
        <f t="shared" si="78"/>
        <v>-873.95880909800314</v>
      </c>
      <c r="I746" s="2">
        <f t="shared" si="79"/>
        <v>873.95880909800314</v>
      </c>
      <c r="J746" s="2">
        <f t="shared" si="80"/>
        <v>1486</v>
      </c>
      <c r="K746" s="11">
        <f t="shared" si="81"/>
        <v>1747.9176181960063</v>
      </c>
      <c r="L746" s="2">
        <f t="shared" si="82"/>
        <v>486</v>
      </c>
      <c r="M746" s="2">
        <f t="shared" si="83"/>
        <v>3498.0536129118454</v>
      </c>
      <c r="N746" s="2">
        <f t="shared" si="84"/>
        <v>2502994.3718150016</v>
      </c>
    </row>
    <row r="747" spans="7:14" x14ac:dyDescent="0.25">
      <c r="G747" s="2">
        <v>744</v>
      </c>
      <c r="H747" s="2">
        <f t="shared" si="78"/>
        <v>-872.84362860709473</v>
      </c>
      <c r="I747" s="2">
        <f t="shared" si="79"/>
        <v>872.84362860709473</v>
      </c>
      <c r="J747" s="2">
        <f t="shared" si="80"/>
        <v>1488</v>
      </c>
      <c r="K747" s="11">
        <f t="shared" si="81"/>
        <v>1745.6872572141895</v>
      </c>
      <c r="L747" s="2">
        <f t="shared" si="82"/>
        <v>488</v>
      </c>
      <c r="M747" s="2">
        <f t="shared" si="83"/>
        <v>3493.6048754101957</v>
      </c>
      <c r="N747" s="2">
        <f t="shared" si="84"/>
        <v>2506487.9766904116</v>
      </c>
    </row>
    <row r="748" spans="7:14" x14ac:dyDescent="0.25">
      <c r="G748" s="2">
        <v>745</v>
      </c>
      <c r="H748" s="2">
        <f t="shared" si="78"/>
        <v>-871.72243288790037</v>
      </c>
      <c r="I748" s="2">
        <f t="shared" si="79"/>
        <v>871.72243288790037</v>
      </c>
      <c r="J748" s="2">
        <f t="shared" si="80"/>
        <v>1490</v>
      </c>
      <c r="K748" s="11">
        <f t="shared" si="81"/>
        <v>1743.4448657758007</v>
      </c>
      <c r="L748" s="2">
        <f t="shared" si="82"/>
        <v>490</v>
      </c>
      <c r="M748" s="2">
        <f t="shared" si="83"/>
        <v>3489.1321229899904</v>
      </c>
      <c r="N748" s="2">
        <f t="shared" si="84"/>
        <v>2509977.1088134018</v>
      </c>
    </row>
    <row r="749" spans="7:14" x14ac:dyDescent="0.25">
      <c r="G749" s="2">
        <v>746</v>
      </c>
      <c r="H749" s="2">
        <f t="shared" si="78"/>
        <v>-870.59519870029146</v>
      </c>
      <c r="I749" s="2">
        <f t="shared" si="79"/>
        <v>870.59519870029146</v>
      </c>
      <c r="J749" s="2">
        <f t="shared" si="80"/>
        <v>1492</v>
      </c>
      <c r="K749" s="11">
        <f t="shared" si="81"/>
        <v>1741.1903974005829</v>
      </c>
      <c r="L749" s="2">
        <f t="shared" si="82"/>
        <v>492</v>
      </c>
      <c r="M749" s="2">
        <f t="shared" si="83"/>
        <v>3484.6352631763839</v>
      </c>
      <c r="N749" s="2">
        <f t="shared" si="84"/>
        <v>2513461.7440765779</v>
      </c>
    </row>
    <row r="750" spans="7:14" x14ac:dyDescent="0.25">
      <c r="G750" s="2">
        <v>747</v>
      </c>
      <c r="H750" s="2">
        <f t="shared" si="78"/>
        <v>-869.46190255812814</v>
      </c>
      <c r="I750" s="2">
        <f t="shared" si="79"/>
        <v>869.46190255812814</v>
      </c>
      <c r="J750" s="2">
        <f t="shared" si="80"/>
        <v>1494</v>
      </c>
      <c r="K750" s="11">
        <f t="shared" si="81"/>
        <v>1738.9238051162563</v>
      </c>
      <c r="L750" s="2">
        <f t="shared" si="82"/>
        <v>494</v>
      </c>
      <c r="M750" s="2">
        <f t="shared" si="83"/>
        <v>3480.1142025168392</v>
      </c>
      <c r="N750" s="2">
        <f t="shared" si="84"/>
        <v>2516941.8582790946</v>
      </c>
    </row>
    <row r="751" spans="7:14" x14ac:dyDescent="0.25">
      <c r="G751" s="2">
        <v>748</v>
      </c>
      <c r="H751" s="2">
        <f t="shared" si="78"/>
        <v>-868.32252072602614</v>
      </c>
      <c r="I751" s="2">
        <f t="shared" si="79"/>
        <v>868.32252072602614</v>
      </c>
      <c r="J751" s="2">
        <f t="shared" si="80"/>
        <v>1496</v>
      </c>
      <c r="K751" s="11">
        <f t="shared" si="81"/>
        <v>1736.6450414520523</v>
      </c>
      <c r="L751" s="2">
        <f t="shared" si="82"/>
        <v>496</v>
      </c>
      <c r="M751" s="2">
        <f t="shared" si="83"/>
        <v>3475.5688465683088</v>
      </c>
      <c r="N751" s="2">
        <f t="shared" si="84"/>
        <v>2520417.427125663</v>
      </c>
    </row>
    <row r="752" spans="7:14" x14ac:dyDescent="0.25">
      <c r="G752" s="2">
        <v>749</v>
      </c>
      <c r="H752" s="2">
        <f t="shared" si="78"/>
        <v>-867.17702921606497</v>
      </c>
      <c r="I752" s="2">
        <f t="shared" si="79"/>
        <v>867.17702921606497</v>
      </c>
      <c r="J752" s="2">
        <f t="shared" si="80"/>
        <v>1498</v>
      </c>
      <c r="K752" s="11">
        <f t="shared" si="81"/>
        <v>1734.3540584321299</v>
      </c>
      <c r="L752" s="2">
        <f t="shared" si="82"/>
        <v>498</v>
      </c>
      <c r="M752" s="2">
        <f t="shared" si="83"/>
        <v>3470.9990998841822</v>
      </c>
      <c r="N752" s="2">
        <f t="shared" si="84"/>
        <v>2523888.4262255472</v>
      </c>
    </row>
    <row r="753" spans="7:14" x14ac:dyDescent="0.25">
      <c r="G753" s="2">
        <v>750</v>
      </c>
      <c r="H753" s="2">
        <f t="shared" si="78"/>
        <v>-866.02540378443859</v>
      </c>
      <c r="I753" s="2">
        <f t="shared" si="79"/>
        <v>866.02540378443859</v>
      </c>
      <c r="J753" s="2">
        <f t="shared" si="80"/>
        <v>1500</v>
      </c>
      <c r="K753" s="11">
        <f t="shared" si="81"/>
        <v>1732.0508075688772</v>
      </c>
      <c r="L753" s="2">
        <f t="shared" si="82"/>
        <v>500</v>
      </c>
      <c r="M753" s="2">
        <f t="shared" si="83"/>
        <v>3466.4048660010071</v>
      </c>
      <c r="N753" s="2">
        <f t="shared" si="84"/>
        <v>2527354.8310915483</v>
      </c>
    </row>
    <row r="754" spans="7:14" x14ac:dyDescent="0.25">
      <c r="G754" s="2">
        <v>751</v>
      </c>
      <c r="H754" s="2">
        <f t="shared" si="78"/>
        <v>-864.86761992804429</v>
      </c>
      <c r="I754" s="2">
        <f t="shared" si="79"/>
        <v>864.86761992804429</v>
      </c>
      <c r="J754" s="2">
        <f t="shared" si="80"/>
        <v>1502</v>
      </c>
      <c r="K754" s="11">
        <f t="shared" si="81"/>
        <v>1729.7352398560886</v>
      </c>
      <c r="L754" s="2">
        <f t="shared" si="82"/>
        <v>502</v>
      </c>
      <c r="M754" s="2">
        <f t="shared" si="83"/>
        <v>3461.7860474249655</v>
      </c>
      <c r="N754" s="2">
        <f t="shared" si="84"/>
        <v>2530816.6171389734</v>
      </c>
    </row>
    <row r="755" spans="7:14" x14ac:dyDescent="0.25">
      <c r="G755" s="2">
        <v>752</v>
      </c>
      <c r="H755" s="2">
        <f t="shared" si="78"/>
        <v>-863.70365288100993</v>
      </c>
      <c r="I755" s="2">
        <f t="shared" si="79"/>
        <v>863.70365288100993</v>
      </c>
      <c r="J755" s="2">
        <f t="shared" si="80"/>
        <v>1504</v>
      </c>
      <c r="K755" s="11">
        <f t="shared" si="81"/>
        <v>1727.4073057620199</v>
      </c>
      <c r="L755" s="2">
        <f t="shared" si="82"/>
        <v>504</v>
      </c>
      <c r="M755" s="2">
        <f t="shared" si="83"/>
        <v>3457.1425456181087</v>
      </c>
      <c r="N755" s="2">
        <f t="shared" si="84"/>
        <v>2534273.7596845916</v>
      </c>
    </row>
    <row r="756" spans="7:14" x14ac:dyDescent="0.25">
      <c r="G756" s="2">
        <v>753</v>
      </c>
      <c r="H756" s="2">
        <f t="shared" si="78"/>
        <v>-862.53347761115913</v>
      </c>
      <c r="I756" s="2">
        <f t="shared" si="79"/>
        <v>862.53347761115913</v>
      </c>
      <c r="J756" s="2">
        <f t="shared" si="80"/>
        <v>1506</v>
      </c>
      <c r="K756" s="11">
        <f t="shared" si="81"/>
        <v>1725.0669552223183</v>
      </c>
      <c r="L756" s="2">
        <f t="shared" si="82"/>
        <v>506</v>
      </c>
      <c r="M756" s="2">
        <f t="shared" si="83"/>
        <v>3452.4742609843379</v>
      </c>
      <c r="N756" s="2">
        <f t="shared" si="84"/>
        <v>2537726.233945576</v>
      </c>
    </row>
    <row r="757" spans="7:14" x14ac:dyDescent="0.25">
      <c r="G757" s="2">
        <v>754</v>
      </c>
      <c r="H757" s="2">
        <f t="shared" si="78"/>
        <v>-861.35706881641136</v>
      </c>
      <c r="I757" s="2">
        <f t="shared" si="79"/>
        <v>861.35706881641136</v>
      </c>
      <c r="J757" s="2">
        <f t="shared" si="80"/>
        <v>1508</v>
      </c>
      <c r="K757" s="11">
        <f t="shared" si="81"/>
        <v>1722.7141376328227</v>
      </c>
      <c r="L757" s="2">
        <f t="shared" si="82"/>
        <v>508</v>
      </c>
      <c r="M757" s="2">
        <f t="shared" si="83"/>
        <v>3447.7810928551407</v>
      </c>
      <c r="N757" s="2">
        <f t="shared" si="84"/>
        <v>2541174.0150384312</v>
      </c>
    </row>
    <row r="758" spans="7:14" x14ac:dyDescent="0.25">
      <c r="G758" s="2">
        <v>755</v>
      </c>
      <c r="H758" s="2">
        <f t="shared" si="78"/>
        <v>-860.17440092111553</v>
      </c>
      <c r="I758" s="2">
        <f t="shared" si="79"/>
        <v>860.17440092111553</v>
      </c>
      <c r="J758" s="2">
        <f t="shared" si="80"/>
        <v>1510</v>
      </c>
      <c r="K758" s="11">
        <f t="shared" si="81"/>
        <v>1720.3488018422311</v>
      </c>
      <c r="L758" s="2">
        <f t="shared" si="82"/>
        <v>510</v>
      </c>
      <c r="M758" s="2">
        <f t="shared" si="83"/>
        <v>3443.062939475054</v>
      </c>
      <c r="N758" s="2">
        <f t="shared" si="84"/>
        <v>2544617.077977906</v>
      </c>
    </row>
    <row r="759" spans="7:14" x14ac:dyDescent="0.25">
      <c r="G759" s="2">
        <v>756</v>
      </c>
      <c r="H759" s="2">
        <f t="shared" si="78"/>
        <v>-858.98544807231747</v>
      </c>
      <c r="I759" s="2">
        <f t="shared" si="79"/>
        <v>858.98544807231747</v>
      </c>
      <c r="J759" s="2">
        <f t="shared" si="80"/>
        <v>1512</v>
      </c>
      <c r="K759" s="11">
        <f t="shared" si="81"/>
        <v>1717.9708961446349</v>
      </c>
      <c r="L759" s="2">
        <f t="shared" si="82"/>
        <v>512</v>
      </c>
      <c r="M759" s="2">
        <f t="shared" si="83"/>
        <v>3438.3196979868662</v>
      </c>
      <c r="N759" s="2">
        <f t="shared" si="84"/>
        <v>2548055.3976758928</v>
      </c>
    </row>
    <row r="760" spans="7:14" x14ac:dyDescent="0.25">
      <c r="G760" s="2">
        <v>757</v>
      </c>
      <c r="H760" s="2">
        <f t="shared" si="78"/>
        <v>-857.79018413595759</v>
      </c>
      <c r="I760" s="2">
        <f t="shared" si="79"/>
        <v>857.79018413595759</v>
      </c>
      <c r="J760" s="2">
        <f t="shared" si="80"/>
        <v>1514</v>
      </c>
      <c r="K760" s="11">
        <f t="shared" si="81"/>
        <v>1715.5803682719152</v>
      </c>
      <c r="L760" s="2">
        <f t="shared" si="82"/>
        <v>514</v>
      </c>
      <c r="M760" s="2">
        <f t="shared" si="83"/>
        <v>3433.5512644165501</v>
      </c>
      <c r="N760" s="2">
        <f t="shared" si="84"/>
        <v>2551488.9489403092</v>
      </c>
    </row>
    <row r="761" spans="7:14" x14ac:dyDescent="0.25">
      <c r="G761" s="2">
        <v>758</v>
      </c>
      <c r="H761" s="2">
        <f t="shared" si="78"/>
        <v>-856.58858269299856</v>
      </c>
      <c r="I761" s="2">
        <f t="shared" si="79"/>
        <v>856.58858269299856</v>
      </c>
      <c r="J761" s="2">
        <f t="shared" si="80"/>
        <v>1516</v>
      </c>
      <c r="K761" s="11">
        <f t="shared" si="81"/>
        <v>1713.1771653859971</v>
      </c>
      <c r="L761" s="2">
        <f t="shared" si="82"/>
        <v>516</v>
      </c>
      <c r="M761" s="2">
        <f t="shared" si="83"/>
        <v>3428.7575336579121</v>
      </c>
      <c r="N761" s="2">
        <f t="shared" si="84"/>
        <v>2554917.7064739671</v>
      </c>
    </row>
    <row r="762" spans="7:14" x14ac:dyDescent="0.25">
      <c r="G762" s="2">
        <v>759</v>
      </c>
      <c r="H762" s="2">
        <f t="shared" si="78"/>
        <v>-855.3806170354809</v>
      </c>
      <c r="I762" s="2">
        <f t="shared" si="79"/>
        <v>855.3806170354809</v>
      </c>
      <c r="J762" s="2">
        <f t="shared" si="80"/>
        <v>1518</v>
      </c>
      <c r="K762" s="11">
        <f t="shared" si="81"/>
        <v>1710.7612340709618</v>
      </c>
      <c r="L762" s="2">
        <f t="shared" si="82"/>
        <v>518</v>
      </c>
      <c r="M762" s="2">
        <f t="shared" si="83"/>
        <v>3423.9383994569589</v>
      </c>
      <c r="N762" s="2">
        <f t="shared" si="84"/>
        <v>2558341.644873424</v>
      </c>
    </row>
    <row r="763" spans="7:14" x14ac:dyDescent="0.25">
      <c r="G763" s="2">
        <v>760</v>
      </c>
      <c r="H763" s="2">
        <f t="shared" si="78"/>
        <v>-854.16626016250484</v>
      </c>
      <c r="I763" s="2">
        <f t="shared" si="79"/>
        <v>854.16626016250484</v>
      </c>
      <c r="J763" s="2">
        <f t="shared" si="80"/>
        <v>1520</v>
      </c>
      <c r="K763" s="11">
        <f t="shared" si="81"/>
        <v>1708.3325203250097</v>
      </c>
      <c r="L763" s="2">
        <f t="shared" si="82"/>
        <v>520</v>
      </c>
      <c r="M763" s="2">
        <f t="shared" si="83"/>
        <v>3419.0937543959717</v>
      </c>
      <c r="N763" s="2">
        <f t="shared" si="84"/>
        <v>2561760.7386278198</v>
      </c>
    </row>
    <row r="764" spans="7:14" x14ac:dyDescent="0.25">
      <c r="G764" s="2">
        <v>761</v>
      </c>
      <c r="H764" s="2">
        <f t="shared" si="78"/>
        <v>-852.94548477613739</v>
      </c>
      <c r="I764" s="2">
        <f t="shared" si="79"/>
        <v>852.94548477613739</v>
      </c>
      <c r="J764" s="2">
        <f t="shared" si="80"/>
        <v>1522</v>
      </c>
      <c r="K764" s="11">
        <f t="shared" si="81"/>
        <v>1705.8909695522748</v>
      </c>
      <c r="L764" s="2">
        <f t="shared" si="82"/>
        <v>522</v>
      </c>
      <c r="M764" s="2">
        <f t="shared" si="83"/>
        <v>3414.2234898772845</v>
      </c>
      <c r="N764" s="2">
        <f t="shared" si="84"/>
        <v>2565174.9621176971</v>
      </c>
    </row>
    <row r="765" spans="7:14" x14ac:dyDescent="0.25">
      <c r="G765" s="2">
        <v>762</v>
      </c>
      <c r="H765" s="2">
        <f t="shared" si="78"/>
        <v>-851.71826327724125</v>
      </c>
      <c r="I765" s="2">
        <f t="shared" si="79"/>
        <v>851.71826327724125</v>
      </c>
      <c r="J765" s="2">
        <f t="shared" si="80"/>
        <v>1524</v>
      </c>
      <c r="K765" s="11">
        <f t="shared" si="81"/>
        <v>1703.4365265544825</v>
      </c>
      <c r="L765" s="2">
        <f t="shared" si="82"/>
        <v>524</v>
      </c>
      <c r="M765" s="2">
        <f t="shared" si="83"/>
        <v>3409.3274961067573</v>
      </c>
      <c r="N765" s="2">
        <f t="shared" si="84"/>
        <v>2568584.2896138038</v>
      </c>
    </row>
    <row r="766" spans="7:14" x14ac:dyDescent="0.25">
      <c r="G766" s="2">
        <v>763</v>
      </c>
      <c r="H766" s="2">
        <f t="shared" si="78"/>
        <v>-850.48456776122634</v>
      </c>
      <c r="I766" s="2">
        <f t="shared" si="79"/>
        <v>850.48456776122634</v>
      </c>
      <c r="J766" s="2">
        <f t="shared" si="80"/>
        <v>1526</v>
      </c>
      <c r="K766" s="11">
        <f t="shared" si="81"/>
        <v>1700.9691355224527</v>
      </c>
      <c r="L766" s="2">
        <f t="shared" si="82"/>
        <v>526</v>
      </c>
      <c r="M766" s="2">
        <f t="shared" si="83"/>
        <v>3404.4056620769352</v>
      </c>
      <c r="N766" s="2">
        <f t="shared" si="84"/>
        <v>2571988.6952758809</v>
      </c>
    </row>
    <row r="767" spans="7:14" x14ac:dyDescent="0.25">
      <c r="G767" s="2">
        <v>764</v>
      </c>
      <c r="H767" s="2">
        <f t="shared" si="78"/>
        <v>-849.24437001371996</v>
      </c>
      <c r="I767" s="2">
        <f t="shared" si="79"/>
        <v>849.24437001371996</v>
      </c>
      <c r="J767" s="2">
        <f t="shared" si="80"/>
        <v>1528</v>
      </c>
      <c r="K767" s="11">
        <f t="shared" si="81"/>
        <v>1698.4887400274399</v>
      </c>
      <c r="L767" s="2">
        <f t="shared" si="82"/>
        <v>528</v>
      </c>
      <c r="M767" s="2">
        <f t="shared" si="83"/>
        <v>3399.4578755498924</v>
      </c>
      <c r="N767" s="2">
        <f t="shared" si="84"/>
        <v>2575388.1531514307</v>
      </c>
    </row>
    <row r="768" spans="7:14" x14ac:dyDescent="0.25">
      <c r="G768" s="2">
        <v>765</v>
      </c>
      <c r="H768" s="2">
        <f t="shared" si="78"/>
        <v>-847.9976415061542</v>
      </c>
      <c r="I768" s="2">
        <f t="shared" si="79"/>
        <v>847.9976415061542</v>
      </c>
      <c r="J768" s="2">
        <f t="shared" si="80"/>
        <v>1530</v>
      </c>
      <c r="K768" s="11">
        <f t="shared" si="81"/>
        <v>1695.9952830123084</v>
      </c>
      <c r="L768" s="2">
        <f t="shared" si="82"/>
        <v>530</v>
      </c>
      <c r="M768" s="2">
        <f t="shared" si="83"/>
        <v>3394.4840230397485</v>
      </c>
      <c r="N768" s="2">
        <f t="shared" si="84"/>
        <v>2578782.6371744704</v>
      </c>
    </row>
    <row r="769" spans="7:14" x14ac:dyDescent="0.25">
      <c r="G769" s="2">
        <v>766</v>
      </c>
      <c r="H769" s="2">
        <f t="shared" si="78"/>
        <v>-846.74435339127001</v>
      </c>
      <c r="I769" s="2">
        <f t="shared" si="79"/>
        <v>846.74435339127001</v>
      </c>
      <c r="J769" s="2">
        <f t="shared" si="80"/>
        <v>1532</v>
      </c>
      <c r="K769" s="11">
        <f t="shared" si="81"/>
        <v>1693.48870678254</v>
      </c>
      <c r="L769" s="2">
        <f t="shared" si="82"/>
        <v>532</v>
      </c>
      <c r="M769" s="2">
        <f t="shared" si="83"/>
        <v>3389.4839897948486</v>
      </c>
      <c r="N769" s="2">
        <f t="shared" si="84"/>
        <v>2582172.1211642651</v>
      </c>
    </row>
    <row r="770" spans="7:14" x14ac:dyDescent="0.25">
      <c r="G770" s="2">
        <v>767</v>
      </c>
      <c r="H770" s="2">
        <f t="shared" si="78"/>
        <v>-845.48447649853392</v>
      </c>
      <c r="I770" s="2">
        <f t="shared" si="79"/>
        <v>845.48447649853392</v>
      </c>
      <c r="J770" s="2">
        <f t="shared" si="80"/>
        <v>1534</v>
      </c>
      <c r="K770" s="11">
        <f t="shared" si="81"/>
        <v>1690.9689529970678</v>
      </c>
      <c r="L770" s="2">
        <f t="shared" si="82"/>
        <v>534</v>
      </c>
      <c r="M770" s="2">
        <f t="shared" si="83"/>
        <v>3384.4576597796076</v>
      </c>
      <c r="N770" s="2">
        <f t="shared" si="84"/>
        <v>2585556.5788240447</v>
      </c>
    </row>
    <row r="771" spans="7:14" x14ac:dyDescent="0.25">
      <c r="G771" s="2">
        <v>768</v>
      </c>
      <c r="H771" s="2">
        <f t="shared" ref="H771:H834" si="85">IF(G771&lt;POC_BOD,-1*$K771/2,IF(G771=POC_BOD,0,NA()))</f>
        <v>-844.21798132946685</v>
      </c>
      <c r="I771" s="2">
        <f t="shared" ref="I771:I834" si="86">IF(G771&lt;=POC_BOD,$K771/2,IF(G771=POC_BOD,0,NA()))</f>
        <v>844.21798132946685</v>
      </c>
      <c r="J771" s="2">
        <f t="shared" ref="J771:J834" si="87">IF(G771&lt;=POC_BOD,DN_KRUH/POC_BOD*G771,"")</f>
        <v>1536</v>
      </c>
      <c r="K771" s="11">
        <f t="shared" ref="K771:K834" si="88">IF(G771&lt;POC_BOD,2*POWER(POWER(R_KRUH,2)-POWER(ABS(J771-DN_KRUH/2),2),0.5),IF(G771=POC_BOD,0,""))</f>
        <v>1688.4359626589337</v>
      </c>
      <c r="L771" s="2">
        <f t="shared" ref="L771:L834" si="89">IF(G771&lt;=POC_BOD,ABS(J771-DN_KRUH/2),IF(G771=POC_BOD,0,""))</f>
        <v>536</v>
      </c>
      <c r="M771" s="2">
        <f t="shared" si="83"/>
        <v>3379.4049156560013</v>
      </c>
      <c r="N771" s="2">
        <f t="shared" si="84"/>
        <v>2588935.9837397006</v>
      </c>
    </row>
    <row r="772" spans="7:14" x14ac:dyDescent="0.25">
      <c r="G772" s="2">
        <v>769</v>
      </c>
      <c r="H772" s="2">
        <f t="shared" si="85"/>
        <v>-842.94483805288235</v>
      </c>
      <c r="I772" s="2">
        <f t="shared" si="86"/>
        <v>842.94483805288235</v>
      </c>
      <c r="J772" s="2">
        <f t="shared" si="87"/>
        <v>1538</v>
      </c>
      <c r="K772" s="11">
        <f t="shared" si="88"/>
        <v>1685.8896761057647</v>
      </c>
      <c r="L772" s="2">
        <f t="shared" si="89"/>
        <v>538</v>
      </c>
      <c r="M772" s="2">
        <f t="shared" ref="M772:M835" si="90">IF(G771&lt;=POC_BOD,(K771+K772)/2*(J772-J771),"")</f>
        <v>3374.3256387646984</v>
      </c>
      <c r="N772" s="2">
        <f t="shared" ref="N772:N835" si="91">IF(G771&lt;=POC_BOD,((K771+K772)/2*(J772-J771))+N771,"")</f>
        <v>2592310.3093784652</v>
      </c>
    </row>
    <row r="773" spans="7:14" x14ac:dyDescent="0.25">
      <c r="G773" s="2">
        <v>770</v>
      </c>
      <c r="H773" s="2">
        <f t="shared" si="85"/>
        <v>-841.66501650003249</v>
      </c>
      <c r="I773" s="2">
        <f t="shared" si="86"/>
        <v>841.66501650003249</v>
      </c>
      <c r="J773" s="2">
        <f t="shared" si="87"/>
        <v>1540</v>
      </c>
      <c r="K773" s="11">
        <f t="shared" si="88"/>
        <v>1683.330033000065</v>
      </c>
      <c r="L773" s="2">
        <f t="shared" si="89"/>
        <v>540</v>
      </c>
      <c r="M773" s="2">
        <f t="shared" si="90"/>
        <v>3369.2197091058297</v>
      </c>
      <c r="N773" s="2">
        <f t="shared" si="91"/>
        <v>2595679.529087571</v>
      </c>
    </row>
    <row r="774" spans="7:14" x14ac:dyDescent="0.25">
      <c r="G774" s="2">
        <v>771</v>
      </c>
      <c r="H774" s="2">
        <f t="shared" si="85"/>
        <v>-840.37848615965891</v>
      </c>
      <c r="I774" s="2">
        <f t="shared" si="86"/>
        <v>840.37848615965891</v>
      </c>
      <c r="J774" s="2">
        <f t="shared" si="87"/>
        <v>1542</v>
      </c>
      <c r="K774" s="11">
        <f t="shared" si="88"/>
        <v>1680.7569723193178</v>
      </c>
      <c r="L774" s="2">
        <f t="shared" si="89"/>
        <v>542</v>
      </c>
      <c r="M774" s="2">
        <f t="shared" si="90"/>
        <v>3364.087005319383</v>
      </c>
      <c r="N774" s="2">
        <f t="shared" si="91"/>
        <v>2599043.6160928905</v>
      </c>
    </row>
    <row r="775" spans="7:14" x14ac:dyDescent="0.25">
      <c r="G775" s="2">
        <v>772</v>
      </c>
      <c r="H775" s="2">
        <f t="shared" si="85"/>
        <v>-839.08521617294628</v>
      </c>
      <c r="I775" s="2">
        <f t="shared" si="86"/>
        <v>839.08521617294628</v>
      </c>
      <c r="J775" s="2">
        <f t="shared" si="87"/>
        <v>1544</v>
      </c>
      <c r="K775" s="11">
        <f t="shared" si="88"/>
        <v>1678.1704323458926</v>
      </c>
      <c r="L775" s="2">
        <f t="shared" si="89"/>
        <v>544</v>
      </c>
      <c r="M775" s="2">
        <f t="shared" si="90"/>
        <v>3358.9274046652104</v>
      </c>
      <c r="N775" s="2">
        <f t="shared" si="91"/>
        <v>2602402.5434975559</v>
      </c>
    </row>
    <row r="776" spans="7:14" x14ac:dyDescent="0.25">
      <c r="G776" s="2">
        <v>773</v>
      </c>
      <c r="H776" s="2">
        <f t="shared" si="85"/>
        <v>-837.78517532837736</v>
      </c>
      <c r="I776" s="2">
        <f t="shared" si="86"/>
        <v>837.78517532837736</v>
      </c>
      <c r="J776" s="2">
        <f t="shared" si="87"/>
        <v>1546</v>
      </c>
      <c r="K776" s="11">
        <f t="shared" si="88"/>
        <v>1675.5703506567547</v>
      </c>
      <c r="L776" s="2">
        <f t="shared" si="89"/>
        <v>546</v>
      </c>
      <c r="M776" s="2">
        <f t="shared" si="90"/>
        <v>3353.7407830026473</v>
      </c>
      <c r="N776" s="2">
        <f t="shared" si="91"/>
        <v>2605756.2842805586</v>
      </c>
    </row>
    <row r="777" spans="7:14" x14ac:dyDescent="0.25">
      <c r="G777" s="2">
        <v>774</v>
      </c>
      <c r="H777" s="2">
        <f t="shared" si="85"/>
        <v>-836.47833205648544</v>
      </c>
      <c r="I777" s="2">
        <f t="shared" si="86"/>
        <v>836.47833205648544</v>
      </c>
      <c r="J777" s="2">
        <f t="shared" si="87"/>
        <v>1548</v>
      </c>
      <c r="K777" s="11">
        <f t="shared" si="88"/>
        <v>1672.9566641129709</v>
      </c>
      <c r="L777" s="2">
        <f t="shared" si="89"/>
        <v>548</v>
      </c>
      <c r="M777" s="2">
        <f t="shared" si="90"/>
        <v>3348.5270147697256</v>
      </c>
      <c r="N777" s="2">
        <f t="shared" si="91"/>
        <v>2609104.8112953282</v>
      </c>
    </row>
    <row r="778" spans="7:14" x14ac:dyDescent="0.25">
      <c r="G778" s="2">
        <v>775</v>
      </c>
      <c r="H778" s="2">
        <f t="shared" si="85"/>
        <v>-835.16465442450328</v>
      </c>
      <c r="I778" s="2">
        <f t="shared" si="86"/>
        <v>835.16465442450328</v>
      </c>
      <c r="J778" s="2">
        <f t="shared" si="87"/>
        <v>1550</v>
      </c>
      <c r="K778" s="11">
        <f t="shared" si="88"/>
        <v>1670.3293088490066</v>
      </c>
      <c r="L778" s="2">
        <f t="shared" si="89"/>
        <v>550</v>
      </c>
      <c r="M778" s="2">
        <f t="shared" si="90"/>
        <v>3343.2859729619777</v>
      </c>
      <c r="N778" s="2">
        <f t="shared" si="91"/>
        <v>2612448.0972682904</v>
      </c>
    </row>
    <row r="779" spans="7:14" x14ac:dyDescent="0.25">
      <c r="G779" s="2">
        <v>776</v>
      </c>
      <c r="H779" s="2">
        <f t="shared" si="85"/>
        <v>-833.84411013090448</v>
      </c>
      <c r="I779" s="2">
        <f t="shared" si="86"/>
        <v>833.84411013090448</v>
      </c>
      <c r="J779" s="2">
        <f t="shared" si="87"/>
        <v>1552</v>
      </c>
      <c r="K779" s="11">
        <f t="shared" si="88"/>
        <v>1667.688220261809</v>
      </c>
      <c r="L779" s="2">
        <f t="shared" si="89"/>
        <v>552</v>
      </c>
      <c r="M779" s="2">
        <f t="shared" si="90"/>
        <v>3338.0175291108153</v>
      </c>
      <c r="N779" s="2">
        <f t="shared" si="91"/>
        <v>2615786.1147974012</v>
      </c>
    </row>
    <row r="780" spans="7:14" x14ac:dyDescent="0.25">
      <c r="G780" s="2">
        <v>777</v>
      </c>
      <c r="H780" s="2">
        <f t="shared" si="85"/>
        <v>-832.51666649983656</v>
      </c>
      <c r="I780" s="2">
        <f t="shared" si="86"/>
        <v>832.51666649983656</v>
      </c>
      <c r="J780" s="2">
        <f t="shared" si="87"/>
        <v>1554</v>
      </c>
      <c r="K780" s="11">
        <f t="shared" si="88"/>
        <v>1665.0333329996731</v>
      </c>
      <c r="L780" s="2">
        <f t="shared" si="89"/>
        <v>554</v>
      </c>
      <c r="M780" s="2">
        <f t="shared" si="90"/>
        <v>3332.7215532614819</v>
      </c>
      <c r="N780" s="2">
        <f t="shared" si="91"/>
        <v>2619118.8363506626</v>
      </c>
    </row>
    <row r="781" spans="7:14" x14ac:dyDescent="0.25">
      <c r="G781" s="2">
        <v>778</v>
      </c>
      <c r="H781" s="2">
        <f t="shared" si="85"/>
        <v>-831.18229047544082</v>
      </c>
      <c r="I781" s="2">
        <f t="shared" si="86"/>
        <v>831.18229047544082</v>
      </c>
      <c r="J781" s="2">
        <f t="shared" si="87"/>
        <v>1556</v>
      </c>
      <c r="K781" s="11">
        <f t="shared" si="88"/>
        <v>1662.3645809508816</v>
      </c>
      <c r="L781" s="2">
        <f t="shared" si="89"/>
        <v>556</v>
      </c>
      <c r="M781" s="2">
        <f t="shared" si="90"/>
        <v>3327.3979139505545</v>
      </c>
      <c r="N781" s="2">
        <f t="shared" si="91"/>
        <v>2622446.2342646131</v>
      </c>
    </row>
    <row r="782" spans="7:14" x14ac:dyDescent="0.25">
      <c r="G782" s="2">
        <v>779</v>
      </c>
      <c r="H782" s="2">
        <f t="shared" si="85"/>
        <v>-829.84094861605854</v>
      </c>
      <c r="I782" s="2">
        <f t="shared" si="86"/>
        <v>829.84094861605854</v>
      </c>
      <c r="J782" s="2">
        <f t="shared" si="87"/>
        <v>1558</v>
      </c>
      <c r="K782" s="11">
        <f t="shared" si="88"/>
        <v>1659.6818972321171</v>
      </c>
      <c r="L782" s="2">
        <f t="shared" si="89"/>
        <v>558</v>
      </c>
      <c r="M782" s="2">
        <f t="shared" si="90"/>
        <v>3322.0464781829987</v>
      </c>
      <c r="N782" s="2">
        <f t="shared" si="91"/>
        <v>2625768.2807427961</v>
      </c>
    </row>
    <row r="783" spans="7:14" x14ac:dyDescent="0.25">
      <c r="G783" s="2">
        <v>780</v>
      </c>
      <c r="H783" s="2">
        <f t="shared" si="85"/>
        <v>-828.49260708831912</v>
      </c>
      <c r="I783" s="2">
        <f t="shared" si="86"/>
        <v>828.49260708831912</v>
      </c>
      <c r="J783" s="2">
        <f t="shared" si="87"/>
        <v>1560</v>
      </c>
      <c r="K783" s="11">
        <f t="shared" si="88"/>
        <v>1656.9852141766382</v>
      </c>
      <c r="L783" s="2">
        <f t="shared" si="89"/>
        <v>560</v>
      </c>
      <c r="M783" s="2">
        <f t="shared" si="90"/>
        <v>3316.6671114087553</v>
      </c>
      <c r="N783" s="2">
        <f t="shared" si="91"/>
        <v>2629084.947854205</v>
      </c>
    </row>
    <row r="784" spans="7:14" x14ac:dyDescent="0.25">
      <c r="G784" s="2">
        <v>781</v>
      </c>
      <c r="H784" s="2">
        <f t="shared" si="85"/>
        <v>-827.13723166110708</v>
      </c>
      <c r="I784" s="2">
        <f t="shared" si="86"/>
        <v>827.13723166110708</v>
      </c>
      <c r="J784" s="2">
        <f t="shared" si="87"/>
        <v>1562</v>
      </c>
      <c r="K784" s="11">
        <f t="shared" si="88"/>
        <v>1654.2744633222142</v>
      </c>
      <c r="L784" s="2">
        <f t="shared" si="89"/>
        <v>562</v>
      </c>
      <c r="M784" s="2">
        <f t="shared" si="90"/>
        <v>3311.2596774988524</v>
      </c>
      <c r="N784" s="2">
        <f t="shared" si="91"/>
        <v>2632396.2075317041</v>
      </c>
    </row>
    <row r="785" spans="7:14" x14ac:dyDescent="0.25">
      <c r="G785" s="2">
        <v>782</v>
      </c>
      <c r="H785" s="2">
        <f t="shared" si="85"/>
        <v>-825.7747876994066</v>
      </c>
      <c r="I785" s="2">
        <f t="shared" si="86"/>
        <v>825.7747876994066</v>
      </c>
      <c r="J785" s="2">
        <f t="shared" si="87"/>
        <v>1564</v>
      </c>
      <c r="K785" s="11">
        <f t="shared" si="88"/>
        <v>1651.5495753988132</v>
      </c>
      <c r="L785" s="2">
        <f t="shared" si="89"/>
        <v>564</v>
      </c>
      <c r="M785" s="2">
        <f t="shared" si="90"/>
        <v>3305.8240387210271</v>
      </c>
      <c r="N785" s="2">
        <f t="shared" si="91"/>
        <v>2635702.0315704253</v>
      </c>
    </row>
    <row r="786" spans="7:14" x14ac:dyDescent="0.25">
      <c r="G786" s="2">
        <v>783</v>
      </c>
      <c r="H786" s="2">
        <f t="shared" si="85"/>
        <v>-824.40524015801839</v>
      </c>
      <c r="I786" s="2">
        <f t="shared" si="86"/>
        <v>824.40524015801839</v>
      </c>
      <c r="J786" s="2">
        <f t="shared" si="87"/>
        <v>1566</v>
      </c>
      <c r="K786" s="11">
        <f t="shared" si="88"/>
        <v>1648.8104803160368</v>
      </c>
      <c r="L786" s="2">
        <f t="shared" si="89"/>
        <v>566</v>
      </c>
      <c r="M786" s="2">
        <f t="shared" si="90"/>
        <v>3300.3600557148502</v>
      </c>
      <c r="N786" s="2">
        <f t="shared" si="91"/>
        <v>2639002.3916261401</v>
      </c>
    </row>
    <row r="787" spans="7:14" x14ac:dyDescent="0.25">
      <c r="G787" s="2">
        <v>784</v>
      </c>
      <c r="H787" s="2">
        <f t="shared" si="85"/>
        <v>-823.02855357514784</v>
      </c>
      <c r="I787" s="2">
        <f t="shared" si="86"/>
        <v>823.02855357514784</v>
      </c>
      <c r="J787" s="2">
        <f t="shared" si="87"/>
        <v>1568</v>
      </c>
      <c r="K787" s="11">
        <f t="shared" si="88"/>
        <v>1646.0571071502957</v>
      </c>
      <c r="L787" s="2">
        <f t="shared" si="89"/>
        <v>568</v>
      </c>
      <c r="M787" s="2">
        <f t="shared" si="90"/>
        <v>3294.8675874663322</v>
      </c>
      <c r="N787" s="2">
        <f t="shared" si="91"/>
        <v>2642297.2592136064</v>
      </c>
    </row>
    <row r="788" spans="7:14" x14ac:dyDescent="0.25">
      <c r="G788" s="2">
        <v>785</v>
      </c>
      <c r="H788" s="2">
        <f t="shared" si="85"/>
        <v>-821.64469206585886</v>
      </c>
      <c r="I788" s="2">
        <f t="shared" si="86"/>
        <v>821.64469206585886</v>
      </c>
      <c r="J788" s="2">
        <f t="shared" si="87"/>
        <v>1570</v>
      </c>
      <c r="K788" s="11">
        <f t="shared" si="88"/>
        <v>1643.2893841317177</v>
      </c>
      <c r="L788" s="2">
        <f t="shared" si="89"/>
        <v>570</v>
      </c>
      <c r="M788" s="2">
        <f t="shared" si="90"/>
        <v>3289.3464912820136</v>
      </c>
      <c r="N788" s="2">
        <f t="shared" si="91"/>
        <v>2645586.6057048882</v>
      </c>
    </row>
    <row r="789" spans="7:14" x14ac:dyDescent="0.25">
      <c r="G789" s="2">
        <v>786</v>
      </c>
      <c r="H789" s="2">
        <f t="shared" si="85"/>
        <v>-820.25361931539203</v>
      </c>
      <c r="I789" s="2">
        <f t="shared" si="86"/>
        <v>820.25361931539203</v>
      </c>
      <c r="J789" s="2">
        <f t="shared" si="87"/>
        <v>1572</v>
      </c>
      <c r="K789" s="11">
        <f t="shared" si="88"/>
        <v>1640.5072386307841</v>
      </c>
      <c r="L789" s="2">
        <f t="shared" si="89"/>
        <v>572</v>
      </c>
      <c r="M789" s="2">
        <f t="shared" si="90"/>
        <v>3283.796622762502</v>
      </c>
      <c r="N789" s="2">
        <f t="shared" si="91"/>
        <v>2648870.4023276507</v>
      </c>
    </row>
    <row r="790" spans="7:14" x14ac:dyDescent="0.25">
      <c r="G790" s="2">
        <v>787</v>
      </c>
      <c r="H790" s="2">
        <f t="shared" si="85"/>
        <v>-818.85529857234235</v>
      </c>
      <c r="I790" s="2">
        <f t="shared" si="86"/>
        <v>818.85529857234235</v>
      </c>
      <c r="J790" s="2">
        <f t="shared" si="87"/>
        <v>1574</v>
      </c>
      <c r="K790" s="11">
        <f t="shared" si="88"/>
        <v>1637.7105971446847</v>
      </c>
      <c r="L790" s="2">
        <f t="shared" si="89"/>
        <v>574</v>
      </c>
      <c r="M790" s="2">
        <f t="shared" si="90"/>
        <v>3278.2178357754688</v>
      </c>
      <c r="N790" s="2">
        <f t="shared" si="91"/>
        <v>2652148.6201634263</v>
      </c>
    </row>
    <row r="791" spans="7:14" x14ac:dyDescent="0.25">
      <c r="G791" s="2">
        <v>788</v>
      </c>
      <c r="H791" s="2">
        <f t="shared" si="85"/>
        <v>-817.44969264169401</v>
      </c>
      <c r="I791" s="2">
        <f t="shared" si="86"/>
        <v>817.44969264169401</v>
      </c>
      <c r="J791" s="2">
        <f t="shared" si="87"/>
        <v>1576</v>
      </c>
      <c r="K791" s="11">
        <f t="shared" si="88"/>
        <v>1634.899385283388</v>
      </c>
      <c r="L791" s="2">
        <f t="shared" si="89"/>
        <v>576</v>
      </c>
      <c r="M791" s="2">
        <f t="shared" si="90"/>
        <v>3272.6099824280727</v>
      </c>
      <c r="N791" s="2">
        <f t="shared" si="91"/>
        <v>2655421.2301458544</v>
      </c>
    </row>
    <row r="792" spans="7:14" x14ac:dyDescent="0.25">
      <c r="G792" s="2">
        <v>789</v>
      </c>
      <c r="H792" s="2">
        <f t="shared" si="85"/>
        <v>-816.03676387770668</v>
      </c>
      <c r="I792" s="2">
        <f t="shared" si="86"/>
        <v>816.03676387770668</v>
      </c>
      <c r="J792" s="2">
        <f t="shared" si="87"/>
        <v>1578</v>
      </c>
      <c r="K792" s="11">
        <f t="shared" si="88"/>
        <v>1632.0735277554134</v>
      </c>
      <c r="L792" s="2">
        <f t="shared" si="89"/>
        <v>578</v>
      </c>
      <c r="M792" s="2">
        <f t="shared" si="90"/>
        <v>3266.9729130388014</v>
      </c>
      <c r="N792" s="2">
        <f t="shared" si="91"/>
        <v>2658688.2030588933</v>
      </c>
    </row>
    <row r="793" spans="7:14" x14ac:dyDescent="0.25">
      <c r="G793" s="2">
        <v>790</v>
      </c>
      <c r="H793" s="2">
        <f t="shared" si="85"/>
        <v>-814.61647417665199</v>
      </c>
      <c r="I793" s="2">
        <f t="shared" si="86"/>
        <v>814.61647417665199</v>
      </c>
      <c r="J793" s="2">
        <f t="shared" si="87"/>
        <v>1580</v>
      </c>
      <c r="K793" s="11">
        <f t="shared" si="88"/>
        <v>1629.232948353304</v>
      </c>
      <c r="L793" s="2">
        <f t="shared" si="89"/>
        <v>580</v>
      </c>
      <c r="M793" s="2">
        <f t="shared" si="90"/>
        <v>3261.3064761087171</v>
      </c>
      <c r="N793" s="2">
        <f t="shared" si="91"/>
        <v>2661949.5095350021</v>
      </c>
    </row>
    <row r="794" spans="7:14" x14ac:dyDescent="0.25">
      <c r="G794" s="2">
        <v>791</v>
      </c>
      <c r="H794" s="2">
        <f t="shared" si="85"/>
        <v>-813.18878496939442</v>
      </c>
      <c r="I794" s="2">
        <f t="shared" si="86"/>
        <v>813.18878496939442</v>
      </c>
      <c r="J794" s="2">
        <f t="shared" si="87"/>
        <v>1582</v>
      </c>
      <c r="K794" s="11">
        <f t="shared" si="88"/>
        <v>1626.3775699387888</v>
      </c>
      <c r="L794" s="2">
        <f t="shared" si="89"/>
        <v>582</v>
      </c>
      <c r="M794" s="2">
        <f t="shared" si="90"/>
        <v>3255.6105182920928</v>
      </c>
      <c r="N794" s="2">
        <f t="shared" si="91"/>
        <v>2665205.1200532941</v>
      </c>
    </row>
    <row r="795" spans="7:14" x14ac:dyDescent="0.25">
      <c r="G795" s="2">
        <v>792</v>
      </c>
      <c r="H795" s="2">
        <f t="shared" si="85"/>
        <v>-811.75365721381263</v>
      </c>
      <c r="I795" s="2">
        <f t="shared" si="86"/>
        <v>811.75365721381263</v>
      </c>
      <c r="J795" s="2">
        <f t="shared" si="87"/>
        <v>1584</v>
      </c>
      <c r="K795" s="11">
        <f t="shared" si="88"/>
        <v>1623.5073144276253</v>
      </c>
      <c r="L795" s="2">
        <f t="shared" si="89"/>
        <v>584</v>
      </c>
      <c r="M795" s="2">
        <f t="shared" si="90"/>
        <v>3249.8848843664141</v>
      </c>
      <c r="N795" s="2">
        <f t="shared" si="91"/>
        <v>2668455.0049376604</v>
      </c>
    </row>
    <row r="796" spans="7:14" x14ac:dyDescent="0.25">
      <c r="G796" s="2">
        <v>793</v>
      </c>
      <c r="H796" s="2">
        <f t="shared" si="85"/>
        <v>-810.31105138705846</v>
      </c>
      <c r="I796" s="2">
        <f t="shared" si="86"/>
        <v>810.31105138705846</v>
      </c>
      <c r="J796" s="2">
        <f t="shared" si="87"/>
        <v>1586</v>
      </c>
      <c r="K796" s="11">
        <f t="shared" si="88"/>
        <v>1620.6221027741169</v>
      </c>
      <c r="L796" s="2">
        <f t="shared" si="89"/>
        <v>586</v>
      </c>
      <c r="M796" s="2">
        <f t="shared" si="90"/>
        <v>3244.1294172017424</v>
      </c>
      <c r="N796" s="2">
        <f t="shared" si="91"/>
        <v>2671699.1343548624</v>
      </c>
    </row>
    <row r="797" spans="7:14" x14ac:dyDescent="0.25">
      <c r="G797" s="2">
        <v>794</v>
      </c>
      <c r="H797" s="2">
        <f t="shared" si="85"/>
        <v>-808.86092747764746</v>
      </c>
      <c r="I797" s="2">
        <f t="shared" si="86"/>
        <v>808.86092747764746</v>
      </c>
      <c r="J797" s="2">
        <f t="shared" si="87"/>
        <v>1588</v>
      </c>
      <c r="K797" s="11">
        <f t="shared" si="88"/>
        <v>1617.7218549552949</v>
      </c>
      <c r="L797" s="2">
        <f t="shared" si="89"/>
        <v>588</v>
      </c>
      <c r="M797" s="2">
        <f t="shared" si="90"/>
        <v>3238.3439577294121</v>
      </c>
      <c r="N797" s="2">
        <f t="shared" si="91"/>
        <v>2674937.478312592</v>
      </c>
    </row>
    <row r="798" spans="7:14" x14ac:dyDescent="0.25">
      <c r="G798" s="2">
        <v>795</v>
      </c>
      <c r="H798" s="2">
        <f t="shared" si="85"/>
        <v>-807.40324497737811</v>
      </c>
      <c r="I798" s="2">
        <f t="shared" si="86"/>
        <v>807.40324497737811</v>
      </c>
      <c r="J798" s="2">
        <f t="shared" si="87"/>
        <v>1590</v>
      </c>
      <c r="K798" s="11">
        <f t="shared" si="88"/>
        <v>1614.8064899547562</v>
      </c>
      <c r="L798" s="2">
        <f t="shared" si="89"/>
        <v>590</v>
      </c>
      <c r="M798" s="2">
        <f t="shared" si="90"/>
        <v>3232.5283449100511</v>
      </c>
      <c r="N798" s="2">
        <f t="shared" si="91"/>
        <v>2678170.0066575021</v>
      </c>
    </row>
    <row r="799" spans="7:14" x14ac:dyDescent="0.25">
      <c r="G799" s="2">
        <v>796</v>
      </c>
      <c r="H799" s="2">
        <f t="shared" si="85"/>
        <v>-805.93796287307373</v>
      </c>
      <c r="I799" s="2">
        <f t="shared" si="86"/>
        <v>805.93796287307373</v>
      </c>
      <c r="J799" s="2">
        <f t="shared" si="87"/>
        <v>1592</v>
      </c>
      <c r="K799" s="11">
        <f t="shared" si="88"/>
        <v>1611.8759257461475</v>
      </c>
      <c r="L799" s="2">
        <f t="shared" si="89"/>
        <v>592</v>
      </c>
      <c r="M799" s="2">
        <f t="shared" si="90"/>
        <v>3226.6824157009037</v>
      </c>
      <c r="N799" s="2">
        <f t="shared" si="91"/>
        <v>2681396.6890732031</v>
      </c>
    </row>
    <row r="800" spans="7:14" x14ac:dyDescent="0.25">
      <c r="G800" s="2">
        <v>797</v>
      </c>
      <c r="H800" s="2">
        <f t="shared" si="85"/>
        <v>-804.46503963814359</v>
      </c>
      <c r="I800" s="2">
        <f t="shared" si="86"/>
        <v>804.46503963814359</v>
      </c>
      <c r="J800" s="2">
        <f t="shared" si="87"/>
        <v>1594</v>
      </c>
      <c r="K800" s="11">
        <f t="shared" si="88"/>
        <v>1608.9300792762872</v>
      </c>
      <c r="L800" s="2">
        <f t="shared" si="89"/>
        <v>594</v>
      </c>
      <c r="M800" s="2">
        <f t="shared" si="90"/>
        <v>3220.8060050224349</v>
      </c>
      <c r="N800" s="2">
        <f t="shared" si="91"/>
        <v>2684617.4950782256</v>
      </c>
    </row>
    <row r="801" spans="7:14" x14ac:dyDescent="0.25">
      <c r="G801" s="2">
        <v>798</v>
      </c>
      <c r="H801" s="2">
        <f t="shared" si="85"/>
        <v>-802.98443322395735</v>
      </c>
      <c r="I801" s="2">
        <f t="shared" si="86"/>
        <v>802.98443322395735</v>
      </c>
      <c r="J801" s="2">
        <f t="shared" si="87"/>
        <v>1596</v>
      </c>
      <c r="K801" s="11">
        <f t="shared" si="88"/>
        <v>1605.9688664479147</v>
      </c>
      <c r="L801" s="2">
        <f t="shared" si="89"/>
        <v>596</v>
      </c>
      <c r="M801" s="2">
        <f t="shared" si="90"/>
        <v>3214.8989457242019</v>
      </c>
      <c r="N801" s="2">
        <f t="shared" si="91"/>
        <v>2687832.3940239497</v>
      </c>
    </row>
    <row r="802" spans="7:14" x14ac:dyDescent="0.25">
      <c r="G802" s="2">
        <v>799</v>
      </c>
      <c r="H802" s="2">
        <f t="shared" si="85"/>
        <v>-801.49610105102818</v>
      </c>
      <c r="I802" s="2">
        <f t="shared" si="86"/>
        <v>801.49610105102818</v>
      </c>
      <c r="J802" s="2">
        <f t="shared" si="87"/>
        <v>1598</v>
      </c>
      <c r="K802" s="11">
        <f t="shared" si="88"/>
        <v>1602.9922021020564</v>
      </c>
      <c r="L802" s="2">
        <f t="shared" si="89"/>
        <v>598</v>
      </c>
      <c r="M802" s="2">
        <f t="shared" si="90"/>
        <v>3208.9610685499711</v>
      </c>
      <c r="N802" s="2">
        <f t="shared" si="91"/>
        <v>2691041.3550924999</v>
      </c>
    </row>
    <row r="803" spans="7:14" x14ac:dyDescent="0.25">
      <c r="G803" s="2">
        <v>800</v>
      </c>
      <c r="H803" s="2">
        <f t="shared" si="85"/>
        <v>-800</v>
      </c>
      <c r="I803" s="2">
        <f t="shared" si="86"/>
        <v>800</v>
      </c>
      <c r="J803" s="2">
        <f t="shared" si="87"/>
        <v>1600</v>
      </c>
      <c r="K803" s="11">
        <f t="shared" si="88"/>
        <v>1600</v>
      </c>
      <c r="L803" s="2">
        <f t="shared" si="89"/>
        <v>600</v>
      </c>
      <c r="M803" s="2">
        <f t="shared" si="90"/>
        <v>3202.9922021020566</v>
      </c>
      <c r="N803" s="2">
        <f t="shared" si="91"/>
        <v>2694244.3472946021</v>
      </c>
    </row>
    <row r="804" spans="7:14" x14ac:dyDescent="0.25">
      <c r="G804" s="2">
        <v>801</v>
      </c>
      <c r="H804" s="2">
        <f t="shared" si="85"/>
        <v>-798.49608640243196</v>
      </c>
      <c r="I804" s="2">
        <f t="shared" si="86"/>
        <v>798.49608640243196</v>
      </c>
      <c r="J804" s="2">
        <f t="shared" si="87"/>
        <v>1602</v>
      </c>
      <c r="K804" s="11">
        <f t="shared" si="88"/>
        <v>1596.9921728048639</v>
      </c>
      <c r="L804" s="2">
        <f t="shared" si="89"/>
        <v>602</v>
      </c>
      <c r="M804" s="2">
        <f t="shared" si="90"/>
        <v>3196.9921728048639</v>
      </c>
      <c r="N804" s="2">
        <f t="shared" si="91"/>
        <v>2697441.3394674067</v>
      </c>
    </row>
    <row r="805" spans="7:14" x14ac:dyDescent="0.25">
      <c r="G805" s="2">
        <v>802</v>
      </c>
      <c r="H805" s="2">
        <f t="shared" si="85"/>
        <v>-796.9843160313759</v>
      </c>
      <c r="I805" s="2">
        <f t="shared" si="86"/>
        <v>796.9843160313759</v>
      </c>
      <c r="J805" s="2">
        <f t="shared" si="87"/>
        <v>1604</v>
      </c>
      <c r="K805" s="11">
        <f t="shared" si="88"/>
        <v>1593.9686320627518</v>
      </c>
      <c r="L805" s="2">
        <f t="shared" si="89"/>
        <v>604</v>
      </c>
      <c r="M805" s="2">
        <f t="shared" si="90"/>
        <v>3190.9608048676155</v>
      </c>
      <c r="N805" s="2">
        <f t="shared" si="91"/>
        <v>2700632.3002722743</v>
      </c>
    </row>
    <row r="806" spans="7:14" x14ac:dyDescent="0.25">
      <c r="G806" s="2">
        <v>803</v>
      </c>
      <c r="H806" s="2">
        <f t="shared" si="85"/>
        <v>-795.46464409174087</v>
      </c>
      <c r="I806" s="2">
        <f t="shared" si="86"/>
        <v>795.46464409174087</v>
      </c>
      <c r="J806" s="2">
        <f t="shared" si="87"/>
        <v>1606</v>
      </c>
      <c r="K806" s="11">
        <f t="shared" si="88"/>
        <v>1590.9292881834817</v>
      </c>
      <c r="L806" s="2">
        <f t="shared" si="89"/>
        <v>606</v>
      </c>
      <c r="M806" s="2">
        <f t="shared" si="90"/>
        <v>3184.8979202462333</v>
      </c>
      <c r="N806" s="2">
        <f t="shared" si="91"/>
        <v>2703817.1981925205</v>
      </c>
    </row>
    <row r="807" spans="7:14" x14ac:dyDescent="0.25">
      <c r="G807" s="2">
        <v>804</v>
      </c>
      <c r="H807" s="2">
        <f t="shared" si="85"/>
        <v>-793.93702521043826</v>
      </c>
      <c r="I807" s="2">
        <f t="shared" si="86"/>
        <v>793.93702521043826</v>
      </c>
      <c r="J807" s="2">
        <f t="shared" si="87"/>
        <v>1608</v>
      </c>
      <c r="K807" s="11">
        <f t="shared" si="88"/>
        <v>1587.8740504208765</v>
      </c>
      <c r="L807" s="2">
        <f t="shared" si="89"/>
        <v>608</v>
      </c>
      <c r="M807" s="2">
        <f t="shared" si="90"/>
        <v>3178.803338604358</v>
      </c>
      <c r="N807" s="2">
        <f t="shared" si="91"/>
        <v>2706996.001531125</v>
      </c>
    </row>
    <row r="808" spans="7:14" x14ac:dyDescent="0.25">
      <c r="G808" s="2">
        <v>805</v>
      </c>
      <c r="H808" s="2">
        <f t="shared" si="85"/>
        <v>-792.40141342630125</v>
      </c>
      <c r="I808" s="2">
        <f t="shared" si="86"/>
        <v>792.40141342630125</v>
      </c>
      <c r="J808" s="2">
        <f t="shared" si="87"/>
        <v>1610</v>
      </c>
      <c r="K808" s="11">
        <f t="shared" si="88"/>
        <v>1584.8028268526025</v>
      </c>
      <c r="L808" s="2">
        <f t="shared" si="89"/>
        <v>610</v>
      </c>
      <c r="M808" s="2">
        <f t="shared" si="90"/>
        <v>3172.676877273479</v>
      </c>
      <c r="N808" s="2">
        <f t="shared" si="91"/>
        <v>2710168.6784083983</v>
      </c>
    </row>
    <row r="809" spans="7:14" x14ac:dyDescent="0.25">
      <c r="G809" s="2">
        <v>806</v>
      </c>
      <c r="H809" s="2">
        <f t="shared" si="85"/>
        <v>-790.857762179774</v>
      </c>
      <c r="I809" s="2">
        <f t="shared" si="86"/>
        <v>790.857762179774</v>
      </c>
      <c r="J809" s="2">
        <f t="shared" si="87"/>
        <v>1612</v>
      </c>
      <c r="K809" s="11">
        <f t="shared" si="88"/>
        <v>1581.715524359548</v>
      </c>
      <c r="L809" s="2">
        <f t="shared" si="89"/>
        <v>612</v>
      </c>
      <c r="M809" s="2">
        <f t="shared" si="90"/>
        <v>3166.5183512121503</v>
      </c>
      <c r="N809" s="2">
        <f t="shared" si="91"/>
        <v>2713335.1967596104</v>
      </c>
    </row>
    <row r="810" spans="7:14" x14ac:dyDescent="0.25">
      <c r="G810" s="2">
        <v>807</v>
      </c>
      <c r="H810" s="2">
        <f t="shared" si="85"/>
        <v>-789.30602430236149</v>
      </c>
      <c r="I810" s="2">
        <f t="shared" si="86"/>
        <v>789.30602430236149</v>
      </c>
      <c r="J810" s="2">
        <f t="shared" si="87"/>
        <v>1614</v>
      </c>
      <c r="K810" s="11">
        <f t="shared" si="88"/>
        <v>1578.612048604723</v>
      </c>
      <c r="L810" s="2">
        <f t="shared" si="89"/>
        <v>614</v>
      </c>
      <c r="M810" s="2">
        <f t="shared" si="90"/>
        <v>3160.327572964271</v>
      </c>
      <c r="N810" s="2">
        <f t="shared" si="91"/>
        <v>2716495.5243325746</v>
      </c>
    </row>
    <row r="811" spans="7:14" x14ac:dyDescent="0.25">
      <c r="G811" s="2">
        <v>808</v>
      </c>
      <c r="H811" s="2">
        <f t="shared" si="85"/>
        <v>-787.74615200583492</v>
      </c>
      <c r="I811" s="2">
        <f t="shared" si="86"/>
        <v>787.74615200583492</v>
      </c>
      <c r="J811" s="2">
        <f t="shared" si="87"/>
        <v>1616</v>
      </c>
      <c r="K811" s="11">
        <f t="shared" si="88"/>
        <v>1575.4923040116698</v>
      </c>
      <c r="L811" s="2">
        <f t="shared" si="89"/>
        <v>616</v>
      </c>
      <c r="M811" s="2">
        <f t="shared" si="90"/>
        <v>3154.104352616393</v>
      </c>
      <c r="N811" s="2">
        <f t="shared" si="91"/>
        <v>2719649.6286851908</v>
      </c>
    </row>
    <row r="812" spans="7:14" x14ac:dyDescent="0.25">
      <c r="G812" s="2">
        <v>809</v>
      </c>
      <c r="H812" s="2">
        <f t="shared" si="85"/>
        <v>-786.17809687118609</v>
      </c>
      <c r="I812" s="2">
        <f t="shared" si="86"/>
        <v>786.17809687118609</v>
      </c>
      <c r="J812" s="2">
        <f t="shared" si="87"/>
        <v>1618</v>
      </c>
      <c r="K812" s="11">
        <f t="shared" si="88"/>
        <v>1572.3561937423722</v>
      </c>
      <c r="L812" s="2">
        <f t="shared" si="89"/>
        <v>618</v>
      </c>
      <c r="M812" s="2">
        <f t="shared" si="90"/>
        <v>3147.848497754042</v>
      </c>
      <c r="N812" s="2">
        <f t="shared" si="91"/>
        <v>2722797.4771829448</v>
      </c>
    </row>
    <row r="813" spans="7:14" x14ac:dyDescent="0.25">
      <c r="G813" s="2">
        <v>810</v>
      </c>
      <c r="H813" s="2">
        <f t="shared" si="85"/>
        <v>-784.60180983732118</v>
      </c>
      <c r="I813" s="2">
        <f t="shared" si="86"/>
        <v>784.60180983732118</v>
      </c>
      <c r="J813" s="2">
        <f t="shared" si="87"/>
        <v>1620</v>
      </c>
      <c r="K813" s="11">
        <f t="shared" si="88"/>
        <v>1569.2036196746424</v>
      </c>
      <c r="L813" s="2">
        <f t="shared" si="89"/>
        <v>620</v>
      </c>
      <c r="M813" s="2">
        <f t="shared" si="90"/>
        <v>3141.5598134170145</v>
      </c>
      <c r="N813" s="2">
        <f t="shared" si="91"/>
        <v>2725939.0369963618</v>
      </c>
    </row>
    <row r="814" spans="7:14" x14ac:dyDescent="0.25">
      <c r="G814" s="2">
        <v>811</v>
      </c>
      <c r="H814" s="2">
        <f t="shared" si="85"/>
        <v>-783.01724118949005</v>
      </c>
      <c r="I814" s="2">
        <f t="shared" si="86"/>
        <v>783.01724118949005</v>
      </c>
      <c r="J814" s="2">
        <f t="shared" si="87"/>
        <v>1622</v>
      </c>
      <c r="K814" s="11">
        <f t="shared" si="88"/>
        <v>1566.0344823789801</v>
      </c>
      <c r="L814" s="2">
        <f t="shared" si="89"/>
        <v>622</v>
      </c>
      <c r="M814" s="2">
        <f t="shared" si="90"/>
        <v>3135.2381020536222</v>
      </c>
      <c r="N814" s="2">
        <f t="shared" si="91"/>
        <v>2729074.2750984156</v>
      </c>
    </row>
    <row r="815" spans="7:14" x14ac:dyDescent="0.25">
      <c r="G815" s="2">
        <v>812</v>
      </c>
      <c r="H815" s="2">
        <f t="shared" si="85"/>
        <v>-781.4243405474391</v>
      </c>
      <c r="I815" s="2">
        <f t="shared" si="86"/>
        <v>781.4243405474391</v>
      </c>
      <c r="J815" s="2">
        <f t="shared" si="87"/>
        <v>1624</v>
      </c>
      <c r="K815" s="11">
        <f t="shared" si="88"/>
        <v>1562.8486810948782</v>
      </c>
      <c r="L815" s="2">
        <f t="shared" si="89"/>
        <v>624</v>
      </c>
      <c r="M815" s="2">
        <f t="shared" si="90"/>
        <v>3128.8831634738581</v>
      </c>
      <c r="N815" s="2">
        <f t="shared" si="91"/>
        <v>2732203.1582618896</v>
      </c>
    </row>
    <row r="816" spans="7:14" x14ac:dyDescent="0.25">
      <c r="G816" s="2">
        <v>813</v>
      </c>
      <c r="H816" s="2">
        <f t="shared" si="85"/>
        <v>-779.8230568532839</v>
      </c>
      <c r="I816" s="2">
        <f t="shared" si="86"/>
        <v>779.8230568532839</v>
      </c>
      <c r="J816" s="2">
        <f t="shared" si="87"/>
        <v>1626</v>
      </c>
      <c r="K816" s="11">
        <f t="shared" si="88"/>
        <v>1559.6461137065678</v>
      </c>
      <c r="L816" s="2">
        <f t="shared" si="89"/>
        <v>626</v>
      </c>
      <c r="M816" s="2">
        <f t="shared" si="90"/>
        <v>3122.494794801446</v>
      </c>
      <c r="N816" s="2">
        <f t="shared" si="91"/>
        <v>2735325.6530566909</v>
      </c>
    </row>
    <row r="817" spans="7:14" x14ac:dyDescent="0.25">
      <c r="G817" s="2">
        <v>814</v>
      </c>
      <c r="H817" s="2">
        <f t="shared" si="85"/>
        <v>-778.21333835909036</v>
      </c>
      <c r="I817" s="2">
        <f t="shared" si="86"/>
        <v>778.21333835909036</v>
      </c>
      <c r="J817" s="2">
        <f t="shared" si="87"/>
        <v>1628</v>
      </c>
      <c r="K817" s="11">
        <f t="shared" si="88"/>
        <v>1556.4266767181807</v>
      </c>
      <c r="L817" s="2">
        <f t="shared" si="89"/>
        <v>628</v>
      </c>
      <c r="M817" s="2">
        <f t="shared" si="90"/>
        <v>3116.0727904247487</v>
      </c>
      <c r="N817" s="2">
        <f t="shared" si="91"/>
        <v>2738441.7258471157</v>
      </c>
    </row>
    <row r="818" spans="7:14" x14ac:dyDescent="0.25">
      <c r="G818" s="2">
        <v>815</v>
      </c>
      <c r="H818" s="2">
        <f t="shared" si="85"/>
        <v>-776.59513261415691</v>
      </c>
      <c r="I818" s="2">
        <f t="shared" si="86"/>
        <v>776.59513261415691</v>
      </c>
      <c r="J818" s="2">
        <f t="shared" si="87"/>
        <v>1630</v>
      </c>
      <c r="K818" s="11">
        <f t="shared" si="88"/>
        <v>1553.1902652283138</v>
      </c>
      <c r="L818" s="2">
        <f t="shared" si="89"/>
        <v>630</v>
      </c>
      <c r="M818" s="2">
        <f t="shared" si="90"/>
        <v>3109.6169419464945</v>
      </c>
      <c r="N818" s="2">
        <f t="shared" si="91"/>
        <v>2741551.3427890623</v>
      </c>
    </row>
    <row r="819" spans="7:14" x14ac:dyDescent="0.25">
      <c r="G819" s="2">
        <v>816</v>
      </c>
      <c r="H819" s="2">
        <f t="shared" si="85"/>
        <v>-774.96838645198943</v>
      </c>
      <c r="I819" s="2">
        <f t="shared" si="86"/>
        <v>774.96838645198943</v>
      </c>
      <c r="J819" s="2">
        <f t="shared" si="87"/>
        <v>1632</v>
      </c>
      <c r="K819" s="11">
        <f t="shared" si="88"/>
        <v>1549.9367729039789</v>
      </c>
      <c r="L819" s="2">
        <f t="shared" si="89"/>
        <v>632</v>
      </c>
      <c r="M819" s="2">
        <f t="shared" si="90"/>
        <v>3103.1270381322929</v>
      </c>
      <c r="N819" s="2">
        <f t="shared" si="91"/>
        <v>2744654.4698271947</v>
      </c>
    </row>
    <row r="820" spans="7:14" x14ac:dyDescent="0.25">
      <c r="G820" s="2">
        <v>817</v>
      </c>
      <c r="H820" s="2">
        <f t="shared" si="85"/>
        <v>-773.33304597695815</v>
      </c>
      <c r="I820" s="2">
        <f t="shared" si="86"/>
        <v>773.33304597695815</v>
      </c>
      <c r="J820" s="2">
        <f t="shared" si="87"/>
        <v>1634</v>
      </c>
      <c r="K820" s="11">
        <f t="shared" si="88"/>
        <v>1546.6660919539163</v>
      </c>
      <c r="L820" s="2">
        <f t="shared" si="89"/>
        <v>634</v>
      </c>
      <c r="M820" s="2">
        <f t="shared" si="90"/>
        <v>3096.6028648578949</v>
      </c>
      <c r="N820" s="2">
        <f t="shared" si="91"/>
        <v>2747751.0726920525</v>
      </c>
    </row>
    <row r="821" spans="7:14" x14ac:dyDescent="0.25">
      <c r="G821" s="2">
        <v>818</v>
      </c>
      <c r="H821" s="2">
        <f t="shared" si="85"/>
        <v>-771.68905655062906</v>
      </c>
      <c r="I821" s="2">
        <f t="shared" si="86"/>
        <v>771.68905655062906</v>
      </c>
      <c r="J821" s="2">
        <f t="shared" si="87"/>
        <v>1636</v>
      </c>
      <c r="K821" s="11">
        <f t="shared" si="88"/>
        <v>1543.3781131012581</v>
      </c>
      <c r="L821" s="2">
        <f t="shared" si="89"/>
        <v>636</v>
      </c>
      <c r="M821" s="2">
        <f t="shared" si="90"/>
        <v>3090.0442050551746</v>
      </c>
      <c r="N821" s="2">
        <f t="shared" si="91"/>
        <v>2750841.1168971076</v>
      </c>
    </row>
    <row r="822" spans="7:14" x14ac:dyDescent="0.25">
      <c r="G822" s="2">
        <v>819</v>
      </c>
      <c r="H822" s="2">
        <f t="shared" si="85"/>
        <v>-770.03636277775865</v>
      </c>
      <c r="I822" s="2">
        <f t="shared" si="86"/>
        <v>770.03636277775865</v>
      </c>
      <c r="J822" s="2">
        <f t="shared" si="87"/>
        <v>1638</v>
      </c>
      <c r="K822" s="11">
        <f t="shared" si="88"/>
        <v>1540.0727255555173</v>
      </c>
      <c r="L822" s="2">
        <f t="shared" si="89"/>
        <v>638</v>
      </c>
      <c r="M822" s="2">
        <f t="shared" si="90"/>
        <v>3083.4508386567754</v>
      </c>
      <c r="N822" s="2">
        <f t="shared" si="91"/>
        <v>2753924.5677357642</v>
      </c>
    </row>
    <row r="823" spans="7:14" x14ac:dyDescent="0.25">
      <c r="G823" s="2">
        <v>820</v>
      </c>
      <c r="H823" s="2">
        <f t="shared" si="85"/>
        <v>-768.37490849194182</v>
      </c>
      <c r="I823" s="2">
        <f t="shared" si="86"/>
        <v>768.37490849194182</v>
      </c>
      <c r="J823" s="2">
        <f t="shared" si="87"/>
        <v>1640</v>
      </c>
      <c r="K823" s="11">
        <f t="shared" si="88"/>
        <v>1536.7498169838836</v>
      </c>
      <c r="L823" s="2">
        <f t="shared" si="89"/>
        <v>640</v>
      </c>
      <c r="M823" s="2">
        <f t="shared" si="90"/>
        <v>3076.8225425394012</v>
      </c>
      <c r="N823" s="2">
        <f t="shared" si="91"/>
        <v>2757001.3902783035</v>
      </c>
    </row>
    <row r="824" spans="7:14" x14ac:dyDescent="0.25">
      <c r="G824" s="2">
        <v>821</v>
      </c>
      <c r="H824" s="2">
        <f t="shared" si="85"/>
        <v>-766.70463674090297</v>
      </c>
      <c r="I824" s="2">
        <f t="shared" si="86"/>
        <v>766.70463674090297</v>
      </c>
      <c r="J824" s="2">
        <f t="shared" si="87"/>
        <v>1642</v>
      </c>
      <c r="K824" s="11">
        <f t="shared" si="88"/>
        <v>1533.4092734818059</v>
      </c>
      <c r="L824" s="2">
        <f t="shared" si="89"/>
        <v>642</v>
      </c>
      <c r="M824" s="2">
        <f t="shared" si="90"/>
        <v>3070.1590904656896</v>
      </c>
      <c r="N824" s="2">
        <f t="shared" si="91"/>
        <v>2760071.5493687694</v>
      </c>
    </row>
    <row r="825" spans="7:14" x14ac:dyDescent="0.25">
      <c r="G825" s="2">
        <v>822</v>
      </c>
      <c r="H825" s="2">
        <f t="shared" si="85"/>
        <v>-765.0254897714193</v>
      </c>
      <c r="I825" s="2">
        <f t="shared" si="86"/>
        <v>765.0254897714193</v>
      </c>
      <c r="J825" s="2">
        <f t="shared" si="87"/>
        <v>1644</v>
      </c>
      <c r="K825" s="11">
        <f t="shared" si="88"/>
        <v>1530.0509795428386</v>
      </c>
      <c r="L825" s="2">
        <f t="shared" si="89"/>
        <v>644</v>
      </c>
      <c r="M825" s="2">
        <f t="shared" si="90"/>
        <v>3063.4602530246448</v>
      </c>
      <c r="N825" s="2">
        <f t="shared" si="91"/>
        <v>2763135.0096217939</v>
      </c>
    </row>
    <row r="826" spans="7:14" x14ac:dyDescent="0.25">
      <c r="G826" s="2">
        <v>823</v>
      </c>
      <c r="H826" s="2">
        <f t="shared" si="85"/>
        <v>-763.33740901386454</v>
      </c>
      <c r="I826" s="2">
        <f t="shared" si="86"/>
        <v>763.33740901386454</v>
      </c>
      <c r="J826" s="2">
        <f t="shared" si="87"/>
        <v>1646</v>
      </c>
      <c r="K826" s="11">
        <f t="shared" si="88"/>
        <v>1526.6748180277291</v>
      </c>
      <c r="L826" s="2">
        <f t="shared" si="89"/>
        <v>646</v>
      </c>
      <c r="M826" s="2">
        <f t="shared" si="90"/>
        <v>3056.7257975705679</v>
      </c>
      <c r="N826" s="2">
        <f t="shared" si="91"/>
        <v>2766191.7354193646</v>
      </c>
    </row>
    <row r="827" spans="7:14" x14ac:dyDescent="0.25">
      <c r="G827" s="2">
        <v>824</v>
      </c>
      <c r="H827" s="2">
        <f t="shared" si="85"/>
        <v>-761.6403350663619</v>
      </c>
      <c r="I827" s="2">
        <f t="shared" si="86"/>
        <v>761.6403350663619</v>
      </c>
      <c r="J827" s="2">
        <f t="shared" si="87"/>
        <v>1648</v>
      </c>
      <c r="K827" s="11">
        <f t="shared" si="88"/>
        <v>1523.2806701327238</v>
      </c>
      <c r="L827" s="2">
        <f t="shared" si="89"/>
        <v>648</v>
      </c>
      <c r="M827" s="2">
        <f t="shared" si="90"/>
        <v>3049.9554881604527</v>
      </c>
      <c r="N827" s="2">
        <f t="shared" si="91"/>
        <v>2769241.6909075249</v>
      </c>
    </row>
    <row r="828" spans="7:14" x14ac:dyDescent="0.25">
      <c r="G828" s="2">
        <v>825</v>
      </c>
      <c r="H828" s="2">
        <f t="shared" si="85"/>
        <v>-759.9342076785332</v>
      </c>
      <c r="I828" s="2">
        <f t="shared" si="86"/>
        <v>759.9342076785332</v>
      </c>
      <c r="J828" s="2">
        <f t="shared" si="87"/>
        <v>1650</v>
      </c>
      <c r="K828" s="11">
        <f t="shared" si="88"/>
        <v>1519.8684153570664</v>
      </c>
      <c r="L828" s="2">
        <f t="shared" si="89"/>
        <v>650</v>
      </c>
      <c r="M828" s="2">
        <f t="shared" si="90"/>
        <v>3043.1490854897902</v>
      </c>
      <c r="N828" s="2">
        <f t="shared" si="91"/>
        <v>2772284.8399930145</v>
      </c>
    </row>
    <row r="829" spans="7:14" x14ac:dyDescent="0.25">
      <c r="G829" s="2">
        <v>826</v>
      </c>
      <c r="H829" s="2">
        <f t="shared" si="85"/>
        <v>-758.21896573483309</v>
      </c>
      <c r="I829" s="2">
        <f t="shared" si="86"/>
        <v>758.21896573483309</v>
      </c>
      <c r="J829" s="2">
        <f t="shared" si="87"/>
        <v>1652</v>
      </c>
      <c r="K829" s="11">
        <f t="shared" si="88"/>
        <v>1516.4379314696662</v>
      </c>
      <c r="L829" s="2">
        <f t="shared" si="89"/>
        <v>652</v>
      </c>
      <c r="M829" s="2">
        <f t="shared" si="90"/>
        <v>3036.3063468267328</v>
      </c>
      <c r="N829" s="2">
        <f t="shared" si="91"/>
        <v>2775321.1463398412</v>
      </c>
    </row>
    <row r="830" spans="7:14" x14ac:dyDescent="0.25">
      <c r="G830" s="2">
        <v>827</v>
      </c>
      <c r="H830" s="2">
        <f t="shared" si="85"/>
        <v>-756.49454723745362</v>
      </c>
      <c r="I830" s="2">
        <f t="shared" si="86"/>
        <v>756.49454723745362</v>
      </c>
      <c r="J830" s="2">
        <f t="shared" si="87"/>
        <v>1654</v>
      </c>
      <c r="K830" s="11">
        <f t="shared" si="88"/>
        <v>1512.9890944749072</v>
      </c>
      <c r="L830" s="2">
        <f t="shared" si="89"/>
        <v>654</v>
      </c>
      <c r="M830" s="2">
        <f t="shared" si="90"/>
        <v>3029.4270259445734</v>
      </c>
      <c r="N830" s="2">
        <f t="shared" si="91"/>
        <v>2778350.5733657856</v>
      </c>
    </row>
    <row r="831" spans="7:14" x14ac:dyDescent="0.25">
      <c r="G831" s="2">
        <v>828</v>
      </c>
      <c r="H831" s="2">
        <f t="shared" si="85"/>
        <v>-754.76088928878664</v>
      </c>
      <c r="I831" s="2">
        <f t="shared" si="86"/>
        <v>754.76088928878664</v>
      </c>
      <c r="J831" s="2">
        <f t="shared" si="87"/>
        <v>1656</v>
      </c>
      <c r="K831" s="11">
        <f t="shared" si="88"/>
        <v>1509.5217785775733</v>
      </c>
      <c r="L831" s="2">
        <f t="shared" si="89"/>
        <v>656</v>
      </c>
      <c r="M831" s="2">
        <f t="shared" si="90"/>
        <v>3022.5108730524807</v>
      </c>
      <c r="N831" s="2">
        <f t="shared" si="91"/>
        <v>2781373.0842388379</v>
      </c>
    </row>
    <row r="832" spans="7:14" x14ac:dyDescent="0.25">
      <c r="G832" s="2">
        <v>829</v>
      </c>
      <c r="H832" s="2">
        <f t="shared" si="85"/>
        <v>-753.01792807342906</v>
      </c>
      <c r="I832" s="2">
        <f t="shared" si="86"/>
        <v>753.01792807342906</v>
      </c>
      <c r="J832" s="2">
        <f t="shared" si="87"/>
        <v>1658</v>
      </c>
      <c r="K832" s="11">
        <f t="shared" si="88"/>
        <v>1506.0358561468581</v>
      </c>
      <c r="L832" s="2">
        <f t="shared" si="89"/>
        <v>658</v>
      </c>
      <c r="M832" s="2">
        <f t="shared" si="90"/>
        <v>3015.5576347244314</v>
      </c>
      <c r="N832" s="2">
        <f t="shared" si="91"/>
        <v>2784388.6418735622</v>
      </c>
    </row>
    <row r="833" spans="7:14" x14ac:dyDescent="0.25">
      <c r="G833" s="2">
        <v>830</v>
      </c>
      <c r="H833" s="2">
        <f t="shared" si="85"/>
        <v>-751.26559883971788</v>
      </c>
      <c r="I833" s="2">
        <f t="shared" si="86"/>
        <v>751.26559883971788</v>
      </c>
      <c r="J833" s="2">
        <f t="shared" si="87"/>
        <v>1660</v>
      </c>
      <c r="K833" s="11">
        <f t="shared" si="88"/>
        <v>1502.5311976794358</v>
      </c>
      <c r="L833" s="2">
        <f t="shared" si="89"/>
        <v>660</v>
      </c>
      <c r="M833" s="2">
        <f t="shared" si="90"/>
        <v>3008.5670538262939</v>
      </c>
      <c r="N833" s="2">
        <f t="shared" si="91"/>
        <v>2787397.2089273888</v>
      </c>
    </row>
    <row r="834" spans="7:14" x14ac:dyDescent="0.25">
      <c r="G834" s="2">
        <v>831</v>
      </c>
      <c r="H834" s="2">
        <f t="shared" si="85"/>
        <v>-749.50383588077784</v>
      </c>
      <c r="I834" s="2">
        <f t="shared" si="86"/>
        <v>749.50383588077784</v>
      </c>
      <c r="J834" s="2">
        <f t="shared" si="87"/>
        <v>1662</v>
      </c>
      <c r="K834" s="11">
        <f t="shared" si="88"/>
        <v>1499.0076717615557</v>
      </c>
      <c r="L834" s="2">
        <f t="shared" si="89"/>
        <v>662</v>
      </c>
      <c r="M834" s="2">
        <f t="shared" si="90"/>
        <v>3001.5388694409912</v>
      </c>
      <c r="N834" s="2">
        <f t="shared" si="91"/>
        <v>2790398.7477968298</v>
      </c>
    </row>
    <row r="835" spans="7:14" x14ac:dyDescent="0.25">
      <c r="G835" s="2">
        <v>832</v>
      </c>
      <c r="H835" s="2">
        <f t="shared" ref="H835:H898" si="92">IF(G835&lt;POC_BOD,-1*$K835/2,IF(G835=POC_BOD,0,NA()))</f>
        <v>-747.73257251506709</v>
      </c>
      <c r="I835" s="2">
        <f t="shared" ref="I835:I898" si="93">IF(G835&lt;=POC_BOD,$K835/2,IF(G835=POC_BOD,0,NA()))</f>
        <v>747.73257251506709</v>
      </c>
      <c r="J835" s="2">
        <f t="shared" ref="J835:J898" si="94">IF(G835&lt;=POC_BOD,DN_KRUH/POC_BOD*G835,"")</f>
        <v>1664</v>
      </c>
      <c r="K835" s="11">
        <f t="shared" ref="K835:K898" si="95">IF(G835&lt;POC_BOD,2*POWER(POWER(R_KRUH,2)-POWER(ABS(J835-DN_KRUH/2),2),0.5),IF(G835=POC_BOD,0,""))</f>
        <v>1495.4651450301342</v>
      </c>
      <c r="L835" s="2">
        <f t="shared" ref="L835:L898" si="96">IF(G835&lt;=POC_BOD,ABS(J835-DN_KRUH/2),IF(G835=POC_BOD,0,""))</f>
        <v>664</v>
      </c>
      <c r="M835" s="2">
        <f t="shared" si="90"/>
        <v>2994.4728167916901</v>
      </c>
      <c r="N835" s="2">
        <f t="shared" si="91"/>
        <v>2793393.2206136216</v>
      </c>
    </row>
    <row r="836" spans="7:14" x14ac:dyDescent="0.25">
      <c r="G836" s="2">
        <v>833</v>
      </c>
      <c r="H836" s="2">
        <f t="shared" si="92"/>
        <v>-745.95174106640434</v>
      </c>
      <c r="I836" s="2">
        <f t="shared" si="93"/>
        <v>745.95174106640434</v>
      </c>
      <c r="J836" s="2">
        <f t="shared" si="94"/>
        <v>1666</v>
      </c>
      <c r="K836" s="11">
        <f t="shared" si="95"/>
        <v>1491.9034821328087</v>
      </c>
      <c r="L836" s="2">
        <f t="shared" si="96"/>
        <v>666</v>
      </c>
      <c r="M836" s="2">
        <f t="shared" ref="M836:M899" si="97">IF(G835&lt;=POC_BOD,(K835+K836)/2*(J836-J835),"")</f>
        <v>2987.3686271629431</v>
      </c>
      <c r="N836" s="2">
        <f t="shared" ref="N836:N899" si="98">IF(G835&lt;=POC_BOD,((K835+K836)/2*(J836-J835))+N835,"")</f>
        <v>2796380.5892407848</v>
      </c>
    </row>
    <row r="837" spans="7:14" x14ac:dyDescent="0.25">
      <c r="G837" s="2">
        <v>834</v>
      </c>
      <c r="H837" s="2">
        <f t="shared" si="92"/>
        <v>-744.16127284346101</v>
      </c>
      <c r="I837" s="2">
        <f t="shared" si="93"/>
        <v>744.16127284346101</v>
      </c>
      <c r="J837" s="2">
        <f t="shared" si="94"/>
        <v>1668</v>
      </c>
      <c r="K837" s="11">
        <f t="shared" si="95"/>
        <v>1488.322545686922</v>
      </c>
      <c r="L837" s="2">
        <f t="shared" si="96"/>
        <v>668</v>
      </c>
      <c r="M837" s="2">
        <f t="shared" si="97"/>
        <v>2980.2260278197309</v>
      </c>
      <c r="N837" s="2">
        <f t="shared" si="98"/>
        <v>2799360.8152686046</v>
      </c>
    </row>
    <row r="838" spans="7:14" x14ac:dyDescent="0.25">
      <c r="G838" s="2">
        <v>835</v>
      </c>
      <c r="H838" s="2">
        <f t="shared" si="92"/>
        <v>-742.36109811869858</v>
      </c>
      <c r="I838" s="2">
        <f t="shared" si="93"/>
        <v>742.36109811869858</v>
      </c>
      <c r="J838" s="2">
        <f t="shared" si="94"/>
        <v>1670</v>
      </c>
      <c r="K838" s="11">
        <f t="shared" si="95"/>
        <v>1484.7221962373972</v>
      </c>
      <c r="L838" s="2">
        <f t="shared" si="96"/>
        <v>670</v>
      </c>
      <c r="M838" s="2">
        <f t="shared" si="97"/>
        <v>2973.0447419243192</v>
      </c>
      <c r="N838" s="2">
        <f t="shared" si="98"/>
        <v>2802333.8600105289</v>
      </c>
    </row>
    <row r="839" spans="7:14" x14ac:dyDescent="0.25">
      <c r="G839" s="2">
        <v>836</v>
      </c>
      <c r="H839" s="2">
        <f t="shared" si="92"/>
        <v>-740.55114610673581</v>
      </c>
      <c r="I839" s="2">
        <f t="shared" si="93"/>
        <v>740.55114610673581</v>
      </c>
      <c r="J839" s="2">
        <f t="shared" si="94"/>
        <v>1672</v>
      </c>
      <c r="K839" s="11">
        <f t="shared" si="95"/>
        <v>1481.1022922134716</v>
      </c>
      <c r="L839" s="2">
        <f t="shared" si="96"/>
        <v>672</v>
      </c>
      <c r="M839" s="2">
        <f t="shared" si="97"/>
        <v>2965.8244884508686</v>
      </c>
      <c r="N839" s="2">
        <f t="shared" si="98"/>
        <v>2805299.6844989797</v>
      </c>
    </row>
    <row r="840" spans="7:14" x14ac:dyDescent="0.25">
      <c r="G840" s="2">
        <v>837</v>
      </c>
      <c r="H840" s="2">
        <f t="shared" si="92"/>
        <v>-738.73134494212445</v>
      </c>
      <c r="I840" s="2">
        <f t="shared" si="93"/>
        <v>738.73134494212445</v>
      </c>
      <c r="J840" s="2">
        <f t="shared" si="94"/>
        <v>1674</v>
      </c>
      <c r="K840" s="11">
        <f t="shared" si="95"/>
        <v>1477.4626898842489</v>
      </c>
      <c r="L840" s="2">
        <f t="shared" si="96"/>
        <v>674</v>
      </c>
      <c r="M840" s="2">
        <f t="shared" si="97"/>
        <v>2958.5649820977205</v>
      </c>
      <c r="N840" s="2">
        <f t="shared" si="98"/>
        <v>2808258.2494810773</v>
      </c>
    </row>
    <row r="841" spans="7:14" x14ac:dyDescent="0.25">
      <c r="G841" s="2">
        <v>838</v>
      </c>
      <c r="H841" s="2">
        <f t="shared" si="92"/>
        <v>-736.90162165651395</v>
      </c>
      <c r="I841" s="2">
        <f t="shared" si="93"/>
        <v>736.90162165651395</v>
      </c>
      <c r="J841" s="2">
        <f t="shared" si="94"/>
        <v>1676</v>
      </c>
      <c r="K841" s="11">
        <f t="shared" si="95"/>
        <v>1473.8032433130279</v>
      </c>
      <c r="L841" s="2">
        <f t="shared" si="96"/>
        <v>676</v>
      </c>
      <c r="M841" s="2">
        <f t="shared" si="97"/>
        <v>2951.2659331972768</v>
      </c>
      <c r="N841" s="2">
        <f t="shared" si="98"/>
        <v>2811209.5154142748</v>
      </c>
    </row>
    <row r="842" spans="7:14" x14ac:dyDescent="0.25">
      <c r="G842" s="2">
        <v>839</v>
      </c>
      <c r="H842" s="2">
        <f t="shared" si="92"/>
        <v>-735.06190215518586</v>
      </c>
      <c r="I842" s="2">
        <f t="shared" si="93"/>
        <v>735.06190215518586</v>
      </c>
      <c r="J842" s="2">
        <f t="shared" si="94"/>
        <v>1678</v>
      </c>
      <c r="K842" s="11">
        <f t="shared" si="95"/>
        <v>1470.1238043103717</v>
      </c>
      <c r="L842" s="2">
        <f t="shared" si="96"/>
        <v>678</v>
      </c>
      <c r="M842" s="2">
        <f t="shared" si="97"/>
        <v>2943.9270476233996</v>
      </c>
      <c r="N842" s="2">
        <f t="shared" si="98"/>
        <v>2814153.4424618981</v>
      </c>
    </row>
    <row r="843" spans="7:14" x14ac:dyDescent="0.25">
      <c r="G843" s="2">
        <v>840</v>
      </c>
      <c r="H843" s="2">
        <f t="shared" si="92"/>
        <v>-733.21211119293434</v>
      </c>
      <c r="I843" s="2">
        <f t="shared" si="93"/>
        <v>733.21211119293434</v>
      </c>
      <c r="J843" s="2">
        <f t="shared" si="94"/>
        <v>1680</v>
      </c>
      <c r="K843" s="11">
        <f t="shared" si="95"/>
        <v>1466.4242223858687</v>
      </c>
      <c r="L843" s="2">
        <f t="shared" si="96"/>
        <v>680</v>
      </c>
      <c r="M843" s="2">
        <f t="shared" si="97"/>
        <v>2936.5480266962404</v>
      </c>
      <c r="N843" s="2">
        <f t="shared" si="98"/>
        <v>2817089.9904885944</v>
      </c>
    </row>
    <row r="844" spans="7:14" x14ac:dyDescent="0.25">
      <c r="G844" s="2">
        <v>841</v>
      </c>
      <c r="H844" s="2">
        <f t="shared" si="92"/>
        <v>-731.35217234927256</v>
      </c>
      <c r="I844" s="2">
        <f t="shared" si="93"/>
        <v>731.35217234927256</v>
      </c>
      <c r="J844" s="2">
        <f t="shared" si="94"/>
        <v>1682</v>
      </c>
      <c r="K844" s="11">
        <f t="shared" si="95"/>
        <v>1462.7043446985451</v>
      </c>
      <c r="L844" s="2">
        <f t="shared" si="96"/>
        <v>682</v>
      </c>
      <c r="M844" s="2">
        <f t="shared" si="97"/>
        <v>2929.1285670844136</v>
      </c>
      <c r="N844" s="2">
        <f t="shared" si="98"/>
        <v>2820019.1190556786</v>
      </c>
    </row>
    <row r="845" spans="7:14" x14ac:dyDescent="0.25">
      <c r="G845" s="2">
        <v>842</v>
      </c>
      <c r="H845" s="2">
        <f t="shared" si="92"/>
        <v>-729.48200800293898</v>
      </c>
      <c r="I845" s="2">
        <f t="shared" si="93"/>
        <v>729.48200800293898</v>
      </c>
      <c r="J845" s="2">
        <f t="shared" si="94"/>
        <v>1684</v>
      </c>
      <c r="K845" s="11">
        <f t="shared" si="95"/>
        <v>1458.964016005878</v>
      </c>
      <c r="L845" s="2">
        <f t="shared" si="96"/>
        <v>684</v>
      </c>
      <c r="M845" s="2">
        <f t="shared" si="97"/>
        <v>2921.6683607044233</v>
      </c>
      <c r="N845" s="2">
        <f t="shared" si="98"/>
        <v>2822940.7874163832</v>
      </c>
    </row>
    <row r="846" spans="7:14" x14ac:dyDescent="0.25">
      <c r="G846" s="2">
        <v>843</v>
      </c>
      <c r="H846" s="2">
        <f t="shared" si="92"/>
        <v>-727.60153930568345</v>
      </c>
      <c r="I846" s="2">
        <f t="shared" si="93"/>
        <v>727.60153930568345</v>
      </c>
      <c r="J846" s="2">
        <f t="shared" si="94"/>
        <v>1686</v>
      </c>
      <c r="K846" s="11">
        <f t="shared" si="95"/>
        <v>1455.2030786113669</v>
      </c>
      <c r="L846" s="2">
        <f t="shared" si="96"/>
        <v>686</v>
      </c>
      <c r="M846" s="2">
        <f t="shared" si="97"/>
        <v>2914.1670946172449</v>
      </c>
      <c r="N846" s="2">
        <f t="shared" si="98"/>
        <v>2825854.9545110003</v>
      </c>
    </row>
    <row r="847" spans="7:14" x14ac:dyDescent="0.25">
      <c r="G847" s="2">
        <v>844</v>
      </c>
      <c r="H847" s="2">
        <f t="shared" si="92"/>
        <v>-725.71068615530248</v>
      </c>
      <c r="I847" s="2">
        <f t="shared" si="93"/>
        <v>725.71068615530248</v>
      </c>
      <c r="J847" s="2">
        <f t="shared" si="94"/>
        <v>1688</v>
      </c>
      <c r="K847" s="11">
        <f t="shared" si="95"/>
        <v>1451.421372310605</v>
      </c>
      <c r="L847" s="2">
        <f t="shared" si="96"/>
        <v>688</v>
      </c>
      <c r="M847" s="2">
        <f t="shared" si="97"/>
        <v>2906.6244509219719</v>
      </c>
      <c r="N847" s="2">
        <f t="shared" si="98"/>
        <v>2828761.5789619223</v>
      </c>
    </row>
    <row r="848" spans="7:14" x14ac:dyDescent="0.25">
      <c r="G848" s="2">
        <v>845</v>
      </c>
      <c r="H848" s="2">
        <f t="shared" si="92"/>
        <v>-723.80936716790291</v>
      </c>
      <c r="I848" s="2">
        <f t="shared" si="93"/>
        <v>723.80936716790291</v>
      </c>
      <c r="J848" s="2">
        <f t="shared" si="94"/>
        <v>1690</v>
      </c>
      <c r="K848" s="11">
        <f t="shared" si="95"/>
        <v>1447.6187343358058</v>
      </c>
      <c r="L848" s="2">
        <f t="shared" si="96"/>
        <v>690</v>
      </c>
      <c r="M848" s="2">
        <f t="shared" si="97"/>
        <v>2899.040106646411</v>
      </c>
      <c r="N848" s="2">
        <f t="shared" si="98"/>
        <v>2831660.6190685686</v>
      </c>
    </row>
    <row r="849" spans="7:14" x14ac:dyDescent="0.25">
      <c r="G849" s="2">
        <v>846</v>
      </c>
      <c r="H849" s="2">
        <f t="shared" si="92"/>
        <v>-721.89749964936163</v>
      </c>
      <c r="I849" s="2">
        <f t="shared" si="93"/>
        <v>721.89749964936163</v>
      </c>
      <c r="J849" s="2">
        <f t="shared" si="94"/>
        <v>1692</v>
      </c>
      <c r="K849" s="11">
        <f t="shared" si="95"/>
        <v>1443.7949992987233</v>
      </c>
      <c r="L849" s="2">
        <f t="shared" si="96"/>
        <v>692</v>
      </c>
      <c r="M849" s="2">
        <f t="shared" si="97"/>
        <v>2891.4137336345293</v>
      </c>
      <c r="N849" s="2">
        <f t="shared" si="98"/>
        <v>2834552.0328022032</v>
      </c>
    </row>
    <row r="850" spans="7:14" x14ac:dyDescent="0.25">
      <c r="G850" s="2">
        <v>847</v>
      </c>
      <c r="H850" s="2">
        <f t="shared" si="92"/>
        <v>-719.97499956595721</v>
      </c>
      <c r="I850" s="2">
        <f t="shared" si="93"/>
        <v>719.97499956595721</v>
      </c>
      <c r="J850" s="2">
        <f t="shared" si="94"/>
        <v>1694</v>
      </c>
      <c r="K850" s="11">
        <f t="shared" si="95"/>
        <v>1439.9499991319144</v>
      </c>
      <c r="L850" s="2">
        <f t="shared" si="96"/>
        <v>694</v>
      </c>
      <c r="M850" s="2">
        <f t="shared" si="97"/>
        <v>2883.7449984306377</v>
      </c>
      <c r="N850" s="2">
        <f t="shared" si="98"/>
        <v>2837435.777800634</v>
      </c>
    </row>
    <row r="851" spans="7:14" x14ac:dyDescent="0.25">
      <c r="G851" s="2">
        <v>848</v>
      </c>
      <c r="H851" s="2">
        <f t="shared" si="92"/>
        <v>-718.04178151413998</v>
      </c>
      <c r="I851" s="2">
        <f t="shared" si="93"/>
        <v>718.04178151413998</v>
      </c>
      <c r="J851" s="2">
        <f t="shared" si="94"/>
        <v>1696</v>
      </c>
      <c r="K851" s="11">
        <f t="shared" si="95"/>
        <v>1436.08356302828</v>
      </c>
      <c r="L851" s="2">
        <f t="shared" si="96"/>
        <v>696</v>
      </c>
      <c r="M851" s="2">
        <f t="shared" si="97"/>
        <v>2876.0335621601944</v>
      </c>
      <c r="N851" s="2">
        <f t="shared" si="98"/>
        <v>2840311.8113627941</v>
      </c>
    </row>
    <row r="852" spans="7:14" x14ac:dyDescent="0.25">
      <c r="G852" s="2">
        <v>849</v>
      </c>
      <c r="H852" s="2">
        <f t="shared" si="92"/>
        <v>-716.09775868941244</v>
      </c>
      <c r="I852" s="2">
        <f t="shared" si="93"/>
        <v>716.09775868941244</v>
      </c>
      <c r="J852" s="2">
        <f t="shared" si="94"/>
        <v>1698</v>
      </c>
      <c r="K852" s="11">
        <f t="shared" si="95"/>
        <v>1432.1955173788249</v>
      </c>
      <c r="L852" s="2">
        <f t="shared" si="96"/>
        <v>698</v>
      </c>
      <c r="M852" s="2">
        <f t="shared" si="97"/>
        <v>2868.2790804071046</v>
      </c>
      <c r="N852" s="2">
        <f t="shared" si="98"/>
        <v>2843180.0904432014</v>
      </c>
    </row>
    <row r="853" spans="7:14" x14ac:dyDescent="0.25">
      <c r="G853" s="2">
        <v>850</v>
      </c>
      <c r="H853" s="2">
        <f t="shared" si="92"/>
        <v>-714.14284285428505</v>
      </c>
      <c r="I853" s="2">
        <f t="shared" si="93"/>
        <v>714.14284285428505</v>
      </c>
      <c r="J853" s="2">
        <f t="shared" si="94"/>
        <v>1700</v>
      </c>
      <c r="K853" s="11">
        <f t="shared" si="95"/>
        <v>1428.2856857085701</v>
      </c>
      <c r="L853" s="2">
        <f t="shared" si="96"/>
        <v>700</v>
      </c>
      <c r="M853" s="2">
        <f t="shared" si="97"/>
        <v>2860.481203087395</v>
      </c>
      <c r="N853" s="2">
        <f t="shared" si="98"/>
        <v>2846040.571646289</v>
      </c>
    </row>
    <row r="854" spans="7:14" x14ac:dyDescent="0.25">
      <c r="G854" s="2">
        <v>851</v>
      </c>
      <c r="H854" s="2">
        <f t="shared" si="92"/>
        <v>-712.17694430527581</v>
      </c>
      <c r="I854" s="2">
        <f t="shared" si="93"/>
        <v>712.17694430527581</v>
      </c>
      <c r="J854" s="2">
        <f t="shared" si="94"/>
        <v>1702</v>
      </c>
      <c r="K854" s="11">
        <f t="shared" si="95"/>
        <v>1424.3538886105516</v>
      </c>
      <c r="L854" s="2">
        <f t="shared" si="96"/>
        <v>702</v>
      </c>
      <c r="M854" s="2">
        <f t="shared" si="97"/>
        <v>2852.6395743191215</v>
      </c>
      <c r="N854" s="2">
        <f t="shared" si="98"/>
        <v>2848893.2112206081</v>
      </c>
    </row>
    <row r="855" spans="7:14" x14ac:dyDescent="0.25">
      <c r="G855" s="2">
        <v>852</v>
      </c>
      <c r="H855" s="2">
        <f t="shared" si="92"/>
        <v>-710.19997183891803</v>
      </c>
      <c r="I855" s="2">
        <f t="shared" si="93"/>
        <v>710.19997183891803</v>
      </c>
      <c r="J855" s="2">
        <f t="shared" si="94"/>
        <v>1704</v>
      </c>
      <c r="K855" s="11">
        <f t="shared" si="95"/>
        <v>1420.3999436778361</v>
      </c>
      <c r="L855" s="2">
        <f t="shared" si="96"/>
        <v>704</v>
      </c>
      <c r="M855" s="2">
        <f t="shared" si="97"/>
        <v>2844.7538322883875</v>
      </c>
      <c r="N855" s="2">
        <f t="shared" si="98"/>
        <v>2851737.9650528966</v>
      </c>
    </row>
    <row r="856" spans="7:14" x14ac:dyDescent="0.25">
      <c r="G856" s="2">
        <v>853</v>
      </c>
      <c r="H856" s="2">
        <f t="shared" si="92"/>
        <v>-708.21183271673738</v>
      </c>
      <c r="I856" s="2">
        <f t="shared" si="93"/>
        <v>708.21183271673738</v>
      </c>
      <c r="J856" s="2">
        <f t="shared" si="94"/>
        <v>1706</v>
      </c>
      <c r="K856" s="11">
        <f t="shared" si="95"/>
        <v>1416.4236654334748</v>
      </c>
      <c r="L856" s="2">
        <f t="shared" si="96"/>
        <v>706</v>
      </c>
      <c r="M856" s="2">
        <f t="shared" si="97"/>
        <v>2836.8236091113108</v>
      </c>
      <c r="N856" s="2">
        <f t="shared" si="98"/>
        <v>2854574.788662008</v>
      </c>
    </row>
    <row r="857" spans="7:14" x14ac:dyDescent="0.25">
      <c r="G857" s="2">
        <v>854</v>
      </c>
      <c r="H857" s="2">
        <f t="shared" si="92"/>
        <v>-706.21243262916289</v>
      </c>
      <c r="I857" s="2">
        <f t="shared" si="93"/>
        <v>706.21243262916289</v>
      </c>
      <c r="J857" s="2">
        <f t="shared" si="94"/>
        <v>1708</v>
      </c>
      <c r="K857" s="11">
        <f t="shared" si="95"/>
        <v>1412.4248652583258</v>
      </c>
      <c r="L857" s="2">
        <f t="shared" si="96"/>
        <v>708</v>
      </c>
      <c r="M857" s="2">
        <f t="shared" si="97"/>
        <v>2828.8485306918005</v>
      </c>
      <c r="N857" s="2">
        <f t="shared" si="98"/>
        <v>2857403.6371926996</v>
      </c>
    </row>
    <row r="858" spans="7:14" x14ac:dyDescent="0.25">
      <c r="G858" s="2">
        <v>855</v>
      </c>
      <c r="H858" s="2">
        <f t="shared" si="92"/>
        <v>-704.20167565833015</v>
      </c>
      <c r="I858" s="2">
        <f t="shared" si="93"/>
        <v>704.20167565833015</v>
      </c>
      <c r="J858" s="2">
        <f t="shared" si="94"/>
        <v>1710</v>
      </c>
      <c r="K858" s="11">
        <f t="shared" si="95"/>
        <v>1408.4033513166603</v>
      </c>
      <c r="L858" s="2">
        <f t="shared" si="96"/>
        <v>710</v>
      </c>
      <c r="M858" s="2">
        <f t="shared" si="97"/>
        <v>2820.8282165749861</v>
      </c>
      <c r="N858" s="2">
        <f t="shared" si="98"/>
        <v>2860224.4654092747</v>
      </c>
    </row>
    <row r="859" spans="7:14" x14ac:dyDescent="0.25">
      <c r="G859" s="2">
        <v>856</v>
      </c>
      <c r="H859" s="2">
        <f t="shared" si="92"/>
        <v>-702.1794642397341</v>
      </c>
      <c r="I859" s="2">
        <f t="shared" si="93"/>
        <v>702.1794642397341</v>
      </c>
      <c r="J859" s="2">
        <f t="shared" si="94"/>
        <v>1712</v>
      </c>
      <c r="K859" s="11">
        <f t="shared" si="95"/>
        <v>1404.3589284794682</v>
      </c>
      <c r="L859" s="2">
        <f t="shared" si="96"/>
        <v>712</v>
      </c>
      <c r="M859" s="2">
        <f t="shared" si="97"/>
        <v>2812.7622797961285</v>
      </c>
      <c r="N859" s="2">
        <f t="shared" si="98"/>
        <v>2863037.2276890706</v>
      </c>
    </row>
    <row r="860" spans="7:14" x14ac:dyDescent="0.25">
      <c r="G860" s="2">
        <v>857</v>
      </c>
      <c r="H860" s="2">
        <f t="shared" si="92"/>
        <v>-700.14569912268973</v>
      </c>
      <c r="I860" s="2">
        <f t="shared" si="93"/>
        <v>700.14569912268973</v>
      </c>
      <c r="J860" s="2">
        <f t="shared" si="94"/>
        <v>1714</v>
      </c>
      <c r="K860" s="11">
        <f t="shared" si="95"/>
        <v>1400.2913982453795</v>
      </c>
      <c r="L860" s="2">
        <f t="shared" si="96"/>
        <v>714</v>
      </c>
      <c r="M860" s="2">
        <f t="shared" si="97"/>
        <v>2804.6503267248477</v>
      </c>
      <c r="N860" s="2">
        <f t="shared" si="98"/>
        <v>2865841.8780157953</v>
      </c>
    </row>
    <row r="861" spans="7:14" x14ac:dyDescent="0.25">
      <c r="G861" s="2">
        <v>858</v>
      </c>
      <c r="H861" s="2">
        <f t="shared" si="92"/>
        <v>-698.10027932955302</v>
      </c>
      <c r="I861" s="2">
        <f t="shared" si="93"/>
        <v>698.10027932955302</v>
      </c>
      <c r="J861" s="2">
        <f t="shared" si="94"/>
        <v>1716</v>
      </c>
      <c r="K861" s="11">
        <f t="shared" si="95"/>
        <v>1396.200558659106</v>
      </c>
      <c r="L861" s="2">
        <f t="shared" si="96"/>
        <v>716</v>
      </c>
      <c r="M861" s="2">
        <f t="shared" si="97"/>
        <v>2796.4919569044855</v>
      </c>
      <c r="N861" s="2">
        <f t="shared" si="98"/>
        <v>2868638.3699726998</v>
      </c>
    </row>
    <row r="862" spans="7:14" x14ac:dyDescent="0.25">
      <c r="G862" s="2">
        <v>859</v>
      </c>
      <c r="H862" s="2">
        <f t="shared" si="92"/>
        <v>-696.04310211365498</v>
      </c>
      <c r="I862" s="2">
        <f t="shared" si="93"/>
        <v>696.04310211365498</v>
      </c>
      <c r="J862" s="2">
        <f t="shared" si="94"/>
        <v>1718</v>
      </c>
      <c r="K862" s="11">
        <f t="shared" si="95"/>
        <v>1392.08620422731</v>
      </c>
      <c r="L862" s="2">
        <f t="shared" si="96"/>
        <v>718</v>
      </c>
      <c r="M862" s="2">
        <f t="shared" si="97"/>
        <v>2788.286762886416</v>
      </c>
      <c r="N862" s="2">
        <f t="shared" si="98"/>
        <v>2871426.656735586</v>
      </c>
    </row>
    <row r="863" spans="7:14" x14ac:dyDescent="0.25">
      <c r="G863" s="2">
        <v>860</v>
      </c>
      <c r="H863" s="2">
        <f t="shared" si="92"/>
        <v>-693.97406291589891</v>
      </c>
      <c r="I863" s="2">
        <f t="shared" si="93"/>
        <v>693.97406291589891</v>
      </c>
      <c r="J863" s="2">
        <f t="shared" si="94"/>
        <v>1720</v>
      </c>
      <c r="K863" s="11">
        <f t="shared" si="95"/>
        <v>1387.9481258317978</v>
      </c>
      <c r="L863" s="2">
        <f t="shared" si="96"/>
        <v>720</v>
      </c>
      <c r="M863" s="2">
        <f t="shared" si="97"/>
        <v>2780.0343300591076</v>
      </c>
      <c r="N863" s="2">
        <f t="shared" si="98"/>
        <v>2874206.6910656453</v>
      </c>
    </row>
    <row r="864" spans="7:14" x14ac:dyDescent="0.25">
      <c r="G864" s="2">
        <v>861</v>
      </c>
      <c r="H864" s="2">
        <f t="shared" si="92"/>
        <v>-691.89305531996774</v>
      </c>
      <c r="I864" s="2">
        <f t="shared" si="93"/>
        <v>691.89305531996774</v>
      </c>
      <c r="J864" s="2">
        <f t="shared" si="94"/>
        <v>1722</v>
      </c>
      <c r="K864" s="11">
        <f t="shared" si="95"/>
        <v>1383.7861106399355</v>
      </c>
      <c r="L864" s="2">
        <f t="shared" si="96"/>
        <v>722</v>
      </c>
      <c r="M864" s="2">
        <f t="shared" si="97"/>
        <v>2771.7342364717333</v>
      </c>
      <c r="N864" s="2">
        <f t="shared" si="98"/>
        <v>2876978.4253021171</v>
      </c>
    </row>
    <row r="865" spans="7:14" x14ac:dyDescent="0.25">
      <c r="G865" s="2">
        <v>862</v>
      </c>
      <c r="H865" s="2">
        <f t="shared" si="92"/>
        <v>-689.79997100608807</v>
      </c>
      <c r="I865" s="2">
        <f t="shared" si="93"/>
        <v>689.79997100608807</v>
      </c>
      <c r="J865" s="2">
        <f t="shared" si="94"/>
        <v>1724</v>
      </c>
      <c r="K865" s="11">
        <f t="shared" si="95"/>
        <v>1379.5999420121761</v>
      </c>
      <c r="L865" s="2">
        <f t="shared" si="96"/>
        <v>724</v>
      </c>
      <c r="M865" s="2">
        <f t="shared" si="97"/>
        <v>2763.3860526521116</v>
      </c>
      <c r="N865" s="2">
        <f t="shared" si="98"/>
        <v>2879741.8113547694</v>
      </c>
    </row>
    <row r="866" spans="7:14" x14ac:dyDescent="0.25">
      <c r="G866" s="2">
        <v>863</v>
      </c>
      <c r="H866" s="2">
        <f t="shared" si="92"/>
        <v>-687.69469970329135</v>
      </c>
      <c r="I866" s="2">
        <f t="shared" si="93"/>
        <v>687.69469970329135</v>
      </c>
      <c r="J866" s="2">
        <f t="shared" si="94"/>
        <v>1726</v>
      </c>
      <c r="K866" s="11">
        <f t="shared" si="95"/>
        <v>1375.3893994065827</v>
      </c>
      <c r="L866" s="2">
        <f t="shared" si="96"/>
        <v>726</v>
      </c>
      <c r="M866" s="2">
        <f t="shared" si="97"/>
        <v>2754.9893414187591</v>
      </c>
      <c r="N866" s="2">
        <f t="shared" si="98"/>
        <v>2882496.8006961881</v>
      </c>
    </row>
    <row r="867" spans="7:14" x14ac:dyDescent="0.25">
      <c r="G867" s="2">
        <v>864</v>
      </c>
      <c r="H867" s="2">
        <f t="shared" si="92"/>
        <v>-685.57712914011358</v>
      </c>
      <c r="I867" s="2">
        <f t="shared" si="93"/>
        <v>685.57712914011358</v>
      </c>
      <c r="J867" s="2">
        <f t="shared" si="94"/>
        <v>1728</v>
      </c>
      <c r="K867" s="11">
        <f t="shared" si="95"/>
        <v>1371.1542582802272</v>
      </c>
      <c r="L867" s="2">
        <f t="shared" si="96"/>
        <v>728</v>
      </c>
      <c r="M867" s="2">
        <f t="shared" si="97"/>
        <v>2746.5436576868096</v>
      </c>
      <c r="N867" s="2">
        <f t="shared" si="98"/>
        <v>2885243.3443538751</v>
      </c>
    </row>
    <row r="868" spans="7:14" x14ac:dyDescent="0.25">
      <c r="G868" s="2">
        <v>865</v>
      </c>
      <c r="H868" s="2">
        <f t="shared" si="92"/>
        <v>-683.44714499367103</v>
      </c>
      <c r="I868" s="2">
        <f t="shared" si="93"/>
        <v>683.44714499367103</v>
      </c>
      <c r="J868" s="2">
        <f t="shared" si="94"/>
        <v>1730</v>
      </c>
      <c r="K868" s="11">
        <f t="shared" si="95"/>
        <v>1366.8942899873421</v>
      </c>
      <c r="L868" s="2">
        <f t="shared" si="96"/>
        <v>730</v>
      </c>
      <c r="M868" s="2">
        <f t="shared" si="97"/>
        <v>2738.0485482675695</v>
      </c>
      <c r="N868" s="2">
        <f t="shared" si="98"/>
        <v>2887981.3929021428</v>
      </c>
    </row>
    <row r="869" spans="7:14" x14ac:dyDescent="0.25">
      <c r="G869" s="2">
        <v>866</v>
      </c>
      <c r="H869" s="2">
        <f t="shared" si="92"/>
        <v>-681.30463083704342</v>
      </c>
      <c r="I869" s="2">
        <f t="shared" si="93"/>
        <v>681.30463083704342</v>
      </c>
      <c r="J869" s="2">
        <f t="shared" si="94"/>
        <v>1732</v>
      </c>
      <c r="K869" s="11">
        <f t="shared" si="95"/>
        <v>1362.6092616740868</v>
      </c>
      <c r="L869" s="2">
        <f t="shared" si="96"/>
        <v>732</v>
      </c>
      <c r="M869" s="2">
        <f t="shared" si="97"/>
        <v>2729.5035516614289</v>
      </c>
      <c r="N869" s="2">
        <f t="shared" si="98"/>
        <v>2890710.8964538043</v>
      </c>
    </row>
    <row r="870" spans="7:14" x14ac:dyDescent="0.25">
      <c r="G870" s="2">
        <v>867</v>
      </c>
      <c r="H870" s="2">
        <f t="shared" si="92"/>
        <v>-679.1494680848981</v>
      </c>
      <c r="I870" s="2">
        <f t="shared" si="93"/>
        <v>679.1494680848981</v>
      </c>
      <c r="J870" s="2">
        <f t="shared" si="94"/>
        <v>1734</v>
      </c>
      <c r="K870" s="11">
        <f t="shared" si="95"/>
        <v>1358.2989361697962</v>
      </c>
      <c r="L870" s="2">
        <f t="shared" si="96"/>
        <v>734</v>
      </c>
      <c r="M870" s="2">
        <f t="shared" si="97"/>
        <v>2720.908197843883</v>
      </c>
      <c r="N870" s="2">
        <f t="shared" si="98"/>
        <v>2893431.8046516483</v>
      </c>
    </row>
    <row r="871" spans="7:14" x14ac:dyDescent="0.25">
      <c r="G871" s="2">
        <v>868</v>
      </c>
      <c r="H871" s="2">
        <f t="shared" si="92"/>
        <v>-676.98153593728091</v>
      </c>
      <c r="I871" s="2">
        <f t="shared" si="93"/>
        <v>676.98153593728091</v>
      </c>
      <c r="J871" s="2">
        <f t="shared" si="94"/>
        <v>1736</v>
      </c>
      <c r="K871" s="11">
        <f t="shared" si="95"/>
        <v>1353.9630718745618</v>
      </c>
      <c r="L871" s="2">
        <f t="shared" si="96"/>
        <v>736</v>
      </c>
      <c r="M871" s="2">
        <f t="shared" si="97"/>
        <v>2712.262008044358</v>
      </c>
      <c r="N871" s="2">
        <f t="shared" si="98"/>
        <v>2896144.0666596927</v>
      </c>
    </row>
    <row r="872" spans="7:14" x14ac:dyDescent="0.25">
      <c r="G872" s="2">
        <v>869</v>
      </c>
      <c r="H872" s="2">
        <f t="shared" si="92"/>
        <v>-674.80071132149828</v>
      </c>
      <c r="I872" s="2">
        <f t="shared" si="93"/>
        <v>674.80071132149828</v>
      </c>
      <c r="J872" s="2">
        <f t="shared" si="94"/>
        <v>1738</v>
      </c>
      <c r="K872" s="11">
        <f t="shared" si="95"/>
        <v>1349.6014226429966</v>
      </c>
      <c r="L872" s="2">
        <f t="shared" si="96"/>
        <v>738</v>
      </c>
      <c r="M872" s="2">
        <f t="shared" si="97"/>
        <v>2703.5644945175582</v>
      </c>
      <c r="N872" s="2">
        <f t="shared" si="98"/>
        <v>2898847.6311542103</v>
      </c>
    </row>
    <row r="873" spans="7:14" x14ac:dyDescent="0.25">
      <c r="G873" s="2">
        <v>870</v>
      </c>
      <c r="H873" s="2">
        <f t="shared" si="92"/>
        <v>-672.60686883200947</v>
      </c>
      <c r="I873" s="2">
        <f t="shared" si="93"/>
        <v>672.60686883200947</v>
      </c>
      <c r="J873" s="2">
        <f t="shared" si="94"/>
        <v>1740</v>
      </c>
      <c r="K873" s="11">
        <f t="shared" si="95"/>
        <v>1345.2137376640189</v>
      </c>
      <c r="L873" s="2">
        <f t="shared" si="96"/>
        <v>740</v>
      </c>
      <c r="M873" s="2">
        <f t="shared" si="97"/>
        <v>2694.8151603070155</v>
      </c>
      <c r="N873" s="2">
        <f t="shared" si="98"/>
        <v>2901542.4463145174</v>
      </c>
    </row>
    <row r="874" spans="7:14" x14ac:dyDescent="0.25">
      <c r="G874" s="2">
        <v>871</v>
      </c>
      <c r="H874" s="2">
        <f t="shared" si="92"/>
        <v>-670.39988066824719</v>
      </c>
      <c r="I874" s="2">
        <f t="shared" si="93"/>
        <v>670.39988066824719</v>
      </c>
      <c r="J874" s="2">
        <f t="shared" si="94"/>
        <v>1742</v>
      </c>
      <c r="K874" s="11">
        <f t="shared" si="95"/>
        <v>1340.7997613364944</v>
      </c>
      <c r="L874" s="2">
        <f t="shared" si="96"/>
        <v>742</v>
      </c>
      <c r="M874" s="2">
        <f t="shared" si="97"/>
        <v>2686.0134990005135</v>
      </c>
      <c r="N874" s="2">
        <f t="shared" si="98"/>
        <v>2904228.459813518</v>
      </c>
    </row>
    <row r="875" spans="7:14" x14ac:dyDescent="0.25">
      <c r="G875" s="2">
        <v>872</v>
      </c>
      <c r="H875" s="2">
        <f t="shared" si="92"/>
        <v>-668.17961657027524</v>
      </c>
      <c r="I875" s="2">
        <f t="shared" si="93"/>
        <v>668.17961657027524</v>
      </c>
      <c r="J875" s="2">
        <f t="shared" si="94"/>
        <v>1744</v>
      </c>
      <c r="K875" s="11">
        <f t="shared" si="95"/>
        <v>1336.3592331405505</v>
      </c>
      <c r="L875" s="2">
        <f t="shared" si="96"/>
        <v>744</v>
      </c>
      <c r="M875" s="2">
        <f t="shared" si="97"/>
        <v>2677.1589944770449</v>
      </c>
      <c r="N875" s="2">
        <f t="shared" si="98"/>
        <v>2906905.6188079952</v>
      </c>
    </row>
    <row r="876" spans="7:14" x14ac:dyDescent="0.25">
      <c r="G876" s="2">
        <v>873</v>
      </c>
      <c r="H876" s="2">
        <f t="shared" si="92"/>
        <v>-665.94594375219378</v>
      </c>
      <c r="I876" s="2">
        <f t="shared" si="93"/>
        <v>665.94594375219378</v>
      </c>
      <c r="J876" s="2">
        <f t="shared" si="94"/>
        <v>1746</v>
      </c>
      <c r="K876" s="11">
        <f t="shared" si="95"/>
        <v>1331.8918875043876</v>
      </c>
      <c r="L876" s="2">
        <f t="shared" si="96"/>
        <v>746</v>
      </c>
      <c r="M876" s="2">
        <f t="shared" si="97"/>
        <v>2668.2511206449381</v>
      </c>
      <c r="N876" s="2">
        <f t="shared" si="98"/>
        <v>2909573.8699286403</v>
      </c>
    </row>
    <row r="877" spans="7:14" x14ac:dyDescent="0.25">
      <c r="G877" s="2">
        <v>874</v>
      </c>
      <c r="H877" s="2">
        <f t="shared" si="92"/>
        <v>-663.69872683319204</v>
      </c>
      <c r="I877" s="2">
        <f t="shared" si="93"/>
        <v>663.69872683319204</v>
      </c>
      <c r="J877" s="2">
        <f t="shared" si="94"/>
        <v>1748</v>
      </c>
      <c r="K877" s="11">
        <f t="shared" si="95"/>
        <v>1327.3974536663841</v>
      </c>
      <c r="L877" s="2">
        <f t="shared" si="96"/>
        <v>748</v>
      </c>
      <c r="M877" s="2">
        <f t="shared" si="97"/>
        <v>2659.2893411707719</v>
      </c>
      <c r="N877" s="2">
        <f t="shared" si="98"/>
        <v>2912233.1592698111</v>
      </c>
    </row>
    <row r="878" spans="7:14" x14ac:dyDescent="0.25">
      <c r="G878" s="2">
        <v>875</v>
      </c>
      <c r="H878" s="2">
        <f t="shared" si="92"/>
        <v>-661.43782776614762</v>
      </c>
      <c r="I878" s="2">
        <f t="shared" si="93"/>
        <v>661.43782776614762</v>
      </c>
      <c r="J878" s="2">
        <f t="shared" si="94"/>
        <v>1750</v>
      </c>
      <c r="K878" s="11">
        <f t="shared" si="95"/>
        <v>1322.8756555322952</v>
      </c>
      <c r="L878" s="2">
        <f t="shared" si="96"/>
        <v>750</v>
      </c>
      <c r="M878" s="2">
        <f t="shared" si="97"/>
        <v>2650.2731091986793</v>
      </c>
      <c r="N878" s="2">
        <f t="shared" si="98"/>
        <v>2914883.4323790097</v>
      </c>
    </row>
    <row r="879" spans="7:14" x14ac:dyDescent="0.25">
      <c r="G879" s="2">
        <v>876</v>
      </c>
      <c r="H879" s="2">
        <f t="shared" si="92"/>
        <v>-659.16310576366459</v>
      </c>
      <c r="I879" s="2">
        <f t="shared" si="93"/>
        <v>659.16310576366459</v>
      </c>
      <c r="J879" s="2">
        <f t="shared" si="94"/>
        <v>1752</v>
      </c>
      <c r="K879" s="11">
        <f t="shared" si="95"/>
        <v>1318.3262115273292</v>
      </c>
      <c r="L879" s="2">
        <f t="shared" si="96"/>
        <v>752</v>
      </c>
      <c r="M879" s="2">
        <f t="shared" si="97"/>
        <v>2641.2018670596244</v>
      </c>
      <c r="N879" s="2">
        <f t="shared" si="98"/>
        <v>2917524.6342460695</v>
      </c>
    </row>
    <row r="880" spans="7:14" x14ac:dyDescent="0.25">
      <c r="G880" s="2">
        <v>877</v>
      </c>
      <c r="H880" s="2">
        <f t="shared" si="92"/>
        <v>-656.87441722143512</v>
      </c>
      <c r="I880" s="2">
        <f t="shared" si="93"/>
        <v>656.87441722143512</v>
      </c>
      <c r="J880" s="2">
        <f t="shared" si="94"/>
        <v>1754</v>
      </c>
      <c r="K880" s="11">
        <f t="shared" si="95"/>
        <v>1313.7488344428702</v>
      </c>
      <c r="L880" s="2">
        <f t="shared" si="96"/>
        <v>754</v>
      </c>
      <c r="M880" s="2">
        <f t="shared" si="97"/>
        <v>2632.0750459701994</v>
      </c>
      <c r="N880" s="2">
        <f t="shared" si="98"/>
        <v>2920156.7092920397</v>
      </c>
    </row>
    <row r="881" spans="7:14" x14ac:dyDescent="0.25">
      <c r="G881" s="2">
        <v>878</v>
      </c>
      <c r="H881" s="2">
        <f t="shared" si="92"/>
        <v>-654.57161563880845</v>
      </c>
      <c r="I881" s="2">
        <f t="shared" si="93"/>
        <v>654.57161563880845</v>
      </c>
      <c r="J881" s="2">
        <f t="shared" si="94"/>
        <v>1756</v>
      </c>
      <c r="K881" s="11">
        <f t="shared" si="95"/>
        <v>1309.1432312776169</v>
      </c>
      <c r="L881" s="2">
        <f t="shared" si="96"/>
        <v>756</v>
      </c>
      <c r="M881" s="2">
        <f t="shared" si="97"/>
        <v>2622.8920657204872</v>
      </c>
      <c r="N881" s="2">
        <f t="shared" si="98"/>
        <v>2922779.6013577604</v>
      </c>
    </row>
    <row r="882" spans="7:14" x14ac:dyDescent="0.25">
      <c r="G882" s="2">
        <v>879</v>
      </c>
      <c r="H882" s="2">
        <f t="shared" si="92"/>
        <v>-652.25455153643816</v>
      </c>
      <c r="I882" s="2">
        <f t="shared" si="93"/>
        <v>652.25455153643816</v>
      </c>
      <c r="J882" s="2">
        <f t="shared" si="94"/>
        <v>1758</v>
      </c>
      <c r="K882" s="11">
        <f t="shared" si="95"/>
        <v>1304.5091030728763</v>
      </c>
      <c r="L882" s="2">
        <f t="shared" si="96"/>
        <v>758</v>
      </c>
      <c r="M882" s="2">
        <f t="shared" si="97"/>
        <v>2613.6523343504932</v>
      </c>
      <c r="N882" s="2">
        <f t="shared" si="98"/>
        <v>2925393.253692111</v>
      </c>
    </row>
    <row r="883" spans="7:14" x14ac:dyDescent="0.25">
      <c r="G883" s="2">
        <v>880</v>
      </c>
      <c r="H883" s="2">
        <f t="shared" si="92"/>
        <v>-649.92307237087687</v>
      </c>
      <c r="I883" s="2">
        <f t="shared" si="93"/>
        <v>649.92307237087687</v>
      </c>
      <c r="J883" s="2">
        <f t="shared" si="94"/>
        <v>1760</v>
      </c>
      <c r="K883" s="11">
        <f t="shared" si="95"/>
        <v>1299.8461447417537</v>
      </c>
      <c r="L883" s="2">
        <f t="shared" si="96"/>
        <v>760</v>
      </c>
      <c r="M883" s="2">
        <f t="shared" si="97"/>
        <v>2604.3552478146303</v>
      </c>
      <c r="N883" s="2">
        <f t="shared" si="98"/>
        <v>2927997.6089399257</v>
      </c>
    </row>
    <row r="884" spans="7:14" x14ac:dyDescent="0.25">
      <c r="G884" s="2">
        <v>881</v>
      </c>
      <c r="H884" s="2">
        <f t="shared" si="92"/>
        <v>-647.57702244597897</v>
      </c>
      <c r="I884" s="2">
        <f t="shared" si="93"/>
        <v>647.57702244597897</v>
      </c>
      <c r="J884" s="2">
        <f t="shared" si="94"/>
        <v>1762</v>
      </c>
      <c r="K884" s="11">
        <f t="shared" si="95"/>
        <v>1295.1540448919579</v>
      </c>
      <c r="L884" s="2">
        <f t="shared" si="96"/>
        <v>762</v>
      </c>
      <c r="M884" s="2">
        <f t="shared" si="97"/>
        <v>2595.0001896337117</v>
      </c>
      <c r="N884" s="2">
        <f t="shared" si="98"/>
        <v>2930592.6091295592</v>
      </c>
    </row>
    <row r="885" spans="7:14" x14ac:dyDescent="0.25">
      <c r="G885" s="2">
        <v>882</v>
      </c>
      <c r="H885" s="2">
        <f t="shared" si="92"/>
        <v>-645.21624282096309</v>
      </c>
      <c r="I885" s="2">
        <f t="shared" si="93"/>
        <v>645.21624282096309</v>
      </c>
      <c r="J885" s="2">
        <f t="shared" si="94"/>
        <v>1764</v>
      </c>
      <c r="K885" s="11">
        <f t="shared" si="95"/>
        <v>1290.4324856419262</v>
      </c>
      <c r="L885" s="2">
        <f t="shared" si="96"/>
        <v>764</v>
      </c>
      <c r="M885" s="2">
        <f t="shared" si="97"/>
        <v>2585.5865305338839</v>
      </c>
      <c r="N885" s="2">
        <f t="shared" si="98"/>
        <v>2933178.1956600933</v>
      </c>
    </row>
    <row r="886" spans="7:14" x14ac:dyDescent="0.25">
      <c r="G886" s="2">
        <v>883</v>
      </c>
      <c r="H886" s="2">
        <f t="shared" si="92"/>
        <v>-642.84057121497858</v>
      </c>
      <c r="I886" s="2">
        <f t="shared" si="93"/>
        <v>642.84057121497858</v>
      </c>
      <c r="J886" s="2">
        <f t="shared" si="94"/>
        <v>1766</v>
      </c>
      <c r="K886" s="11">
        <f t="shared" si="95"/>
        <v>1285.6811424299572</v>
      </c>
      <c r="L886" s="2">
        <f t="shared" si="96"/>
        <v>766</v>
      </c>
      <c r="M886" s="2">
        <f t="shared" si="97"/>
        <v>2576.1136280718833</v>
      </c>
      <c r="N886" s="2">
        <f t="shared" si="98"/>
        <v>2935754.3092881651</v>
      </c>
    </row>
    <row r="887" spans="7:14" x14ac:dyDescent="0.25">
      <c r="G887" s="2">
        <v>884</v>
      </c>
      <c r="H887" s="2">
        <f t="shared" si="92"/>
        <v>-640.44984190801392</v>
      </c>
      <c r="I887" s="2">
        <f t="shared" si="93"/>
        <v>640.44984190801392</v>
      </c>
      <c r="J887" s="2">
        <f t="shared" si="94"/>
        <v>1768</v>
      </c>
      <c r="K887" s="11">
        <f t="shared" si="95"/>
        <v>1280.8996838160278</v>
      </c>
      <c r="L887" s="2">
        <f t="shared" si="96"/>
        <v>768</v>
      </c>
      <c r="M887" s="2">
        <f t="shared" si="97"/>
        <v>2566.580826245985</v>
      </c>
      <c r="N887" s="2">
        <f t="shared" si="98"/>
        <v>2938320.8901144112</v>
      </c>
    </row>
    <row r="888" spans="7:14" x14ac:dyDescent="0.25">
      <c r="G888" s="2">
        <v>885</v>
      </c>
      <c r="H888" s="2">
        <f t="shared" si="92"/>
        <v>-638.04388563797079</v>
      </c>
      <c r="I888" s="2">
        <f t="shared" si="93"/>
        <v>638.04388563797079</v>
      </c>
      <c r="J888" s="2">
        <f t="shared" si="94"/>
        <v>1770</v>
      </c>
      <c r="K888" s="11">
        <f t="shared" si="95"/>
        <v>1276.0877712759416</v>
      </c>
      <c r="L888" s="2">
        <f t="shared" si="96"/>
        <v>770</v>
      </c>
      <c r="M888" s="2">
        <f t="shared" si="97"/>
        <v>2556.9874550919694</v>
      </c>
      <c r="N888" s="2">
        <f t="shared" si="98"/>
        <v>2940877.8775695032</v>
      </c>
    </row>
    <row r="889" spans="7:14" x14ac:dyDescent="0.25">
      <c r="G889" s="2">
        <v>886</v>
      </c>
      <c r="H889" s="2">
        <f t="shared" si="92"/>
        <v>-635.62252949372396</v>
      </c>
      <c r="I889" s="2">
        <f t="shared" si="93"/>
        <v>635.62252949372396</v>
      </c>
      <c r="J889" s="2">
        <f t="shared" si="94"/>
        <v>1772</v>
      </c>
      <c r="K889" s="11">
        <f t="shared" si="95"/>
        <v>1271.2450589874479</v>
      </c>
      <c r="L889" s="2">
        <f t="shared" si="96"/>
        <v>772</v>
      </c>
      <c r="M889" s="2">
        <f t="shared" si="97"/>
        <v>2547.3328302633895</v>
      </c>
      <c r="N889" s="2">
        <f t="shared" si="98"/>
        <v>2943425.2103997665</v>
      </c>
    </row>
    <row r="890" spans="7:14" x14ac:dyDescent="0.25">
      <c r="G890" s="2">
        <v>887</v>
      </c>
      <c r="H890" s="2">
        <f t="shared" si="92"/>
        <v>-633.18559680397027</v>
      </c>
      <c r="I890" s="2">
        <f t="shared" si="93"/>
        <v>633.18559680397027</v>
      </c>
      <c r="J890" s="2">
        <f t="shared" si="94"/>
        <v>1774</v>
      </c>
      <c r="K890" s="11">
        <f t="shared" si="95"/>
        <v>1266.3711936079405</v>
      </c>
      <c r="L890" s="2">
        <f t="shared" si="96"/>
        <v>774</v>
      </c>
      <c r="M890" s="2">
        <f t="shared" si="97"/>
        <v>2537.6162525953887</v>
      </c>
      <c r="N890" s="2">
        <f t="shared" si="98"/>
        <v>2945962.826652362</v>
      </c>
    </row>
    <row r="891" spans="7:14" x14ac:dyDescent="0.25">
      <c r="G891" s="2">
        <v>888</v>
      </c>
      <c r="H891" s="2">
        <f t="shared" si="92"/>
        <v>-630.7329070216648</v>
      </c>
      <c r="I891" s="2">
        <f t="shared" si="93"/>
        <v>630.7329070216648</v>
      </c>
      <c r="J891" s="2">
        <f t="shared" si="94"/>
        <v>1776</v>
      </c>
      <c r="K891" s="11">
        <f t="shared" si="95"/>
        <v>1261.4658140433296</v>
      </c>
      <c r="L891" s="2">
        <f t="shared" si="96"/>
        <v>776</v>
      </c>
      <c r="M891" s="2">
        <f t="shared" si="97"/>
        <v>2527.8370076512701</v>
      </c>
      <c r="N891" s="2">
        <f t="shared" si="98"/>
        <v>2948490.6636600131</v>
      </c>
    </row>
    <row r="892" spans="7:14" x14ac:dyDescent="0.25">
      <c r="G892" s="2">
        <v>889</v>
      </c>
      <c r="H892" s="2">
        <f t="shared" si="92"/>
        <v>-628.26427560382581</v>
      </c>
      <c r="I892" s="2">
        <f t="shared" si="93"/>
        <v>628.26427560382581</v>
      </c>
      <c r="J892" s="2">
        <f t="shared" si="94"/>
        <v>1778</v>
      </c>
      <c r="K892" s="11">
        <f t="shared" si="95"/>
        <v>1256.5285512076516</v>
      </c>
      <c r="L892" s="2">
        <f t="shared" si="96"/>
        <v>778</v>
      </c>
      <c r="M892" s="2">
        <f t="shared" si="97"/>
        <v>2517.994365250981</v>
      </c>
      <c r="N892" s="2">
        <f t="shared" si="98"/>
        <v>2951008.6580252643</v>
      </c>
    </row>
    <row r="893" spans="7:14" x14ac:dyDescent="0.25">
      <c r="G893" s="2">
        <v>890</v>
      </c>
      <c r="H893" s="2">
        <f t="shared" si="92"/>
        <v>-625.77951388648057</v>
      </c>
      <c r="I893" s="2">
        <f t="shared" si="93"/>
        <v>625.77951388648057</v>
      </c>
      <c r="J893" s="2">
        <f t="shared" si="94"/>
        <v>1780</v>
      </c>
      <c r="K893" s="11">
        <f t="shared" si="95"/>
        <v>1251.5590277729611</v>
      </c>
      <c r="L893" s="2">
        <f t="shared" si="96"/>
        <v>780</v>
      </c>
      <c r="M893" s="2">
        <f t="shared" si="97"/>
        <v>2508.0875789806128</v>
      </c>
      <c r="N893" s="2">
        <f t="shared" si="98"/>
        <v>2953516.745604245</v>
      </c>
    </row>
    <row r="894" spans="7:14" x14ac:dyDescent="0.25">
      <c r="G894" s="2">
        <v>891</v>
      </c>
      <c r="H894" s="2">
        <f t="shared" si="92"/>
        <v>-623.27842895450829</v>
      </c>
      <c r="I894" s="2">
        <f t="shared" si="93"/>
        <v>623.27842895450829</v>
      </c>
      <c r="J894" s="2">
        <f t="shared" si="94"/>
        <v>1782</v>
      </c>
      <c r="K894" s="11">
        <f t="shared" si="95"/>
        <v>1246.5568579090166</v>
      </c>
      <c r="L894" s="2">
        <f t="shared" si="96"/>
        <v>782</v>
      </c>
      <c r="M894" s="2">
        <f t="shared" si="97"/>
        <v>2498.1158856819775</v>
      </c>
      <c r="N894" s="2">
        <f t="shared" si="98"/>
        <v>2956014.8614899269</v>
      </c>
    </row>
    <row r="895" spans="7:14" x14ac:dyDescent="0.25">
      <c r="G895" s="2">
        <v>892</v>
      </c>
      <c r="H895" s="2">
        <f t="shared" si="92"/>
        <v>-620.76082350612296</v>
      </c>
      <c r="I895" s="2">
        <f t="shared" si="93"/>
        <v>620.76082350612296</v>
      </c>
      <c r="J895" s="2">
        <f t="shared" si="94"/>
        <v>1784</v>
      </c>
      <c r="K895" s="11">
        <f t="shared" si="95"/>
        <v>1241.5216470122459</v>
      </c>
      <c r="L895" s="2">
        <f t="shared" si="96"/>
        <v>784</v>
      </c>
      <c r="M895" s="2">
        <f t="shared" si="97"/>
        <v>2488.0785049212627</v>
      </c>
      <c r="N895" s="2">
        <f t="shared" si="98"/>
        <v>2958502.9399948483</v>
      </c>
    </row>
    <row r="896" spans="7:14" x14ac:dyDescent="0.25">
      <c r="G896" s="2">
        <v>893</v>
      </c>
      <c r="H896" s="2">
        <f t="shared" si="92"/>
        <v>-618.22649571172542</v>
      </c>
      <c r="I896" s="2">
        <f t="shared" si="93"/>
        <v>618.22649571172542</v>
      </c>
      <c r="J896" s="2">
        <f t="shared" si="94"/>
        <v>1786</v>
      </c>
      <c r="K896" s="11">
        <f t="shared" si="95"/>
        <v>1236.4529914234508</v>
      </c>
      <c r="L896" s="2">
        <f t="shared" si="96"/>
        <v>786</v>
      </c>
      <c r="M896" s="2">
        <f t="shared" si="97"/>
        <v>2477.9746384356968</v>
      </c>
      <c r="N896" s="2">
        <f t="shared" si="98"/>
        <v>2960980.9146332839</v>
      </c>
    </row>
    <row r="897" spans="7:14" x14ac:dyDescent="0.25">
      <c r="G897" s="2">
        <v>894</v>
      </c>
      <c r="H897" s="2">
        <f t="shared" si="92"/>
        <v>-615.67523906683141</v>
      </c>
      <c r="I897" s="2">
        <f t="shared" si="93"/>
        <v>615.67523906683141</v>
      </c>
      <c r="J897" s="2">
        <f t="shared" si="94"/>
        <v>1788</v>
      </c>
      <c r="K897" s="11">
        <f t="shared" si="95"/>
        <v>1231.3504781336628</v>
      </c>
      <c r="L897" s="2">
        <f t="shared" si="96"/>
        <v>788</v>
      </c>
      <c r="M897" s="2">
        <f t="shared" si="97"/>
        <v>2467.8034695571137</v>
      </c>
      <c r="N897" s="2">
        <f t="shared" si="98"/>
        <v>2963448.7181028412</v>
      </c>
    </row>
    <row r="898" spans="7:14" x14ac:dyDescent="0.25">
      <c r="G898" s="2">
        <v>895</v>
      </c>
      <c r="H898" s="2">
        <f t="shared" si="92"/>
        <v>-613.10684223877331</v>
      </c>
      <c r="I898" s="2">
        <f t="shared" si="93"/>
        <v>613.10684223877331</v>
      </c>
      <c r="J898" s="2">
        <f t="shared" si="94"/>
        <v>1790</v>
      </c>
      <c r="K898" s="11">
        <f t="shared" si="95"/>
        <v>1226.2136844775466</v>
      </c>
      <c r="L898" s="2">
        <f t="shared" si="96"/>
        <v>790</v>
      </c>
      <c r="M898" s="2">
        <f t="shared" si="97"/>
        <v>2457.5641626112092</v>
      </c>
      <c r="N898" s="2">
        <f t="shared" si="98"/>
        <v>2965906.2822654522</v>
      </c>
    </row>
    <row r="899" spans="7:14" x14ac:dyDescent="0.25">
      <c r="G899" s="2">
        <v>896</v>
      </c>
      <c r="H899" s="2">
        <f t="shared" ref="H899:H962" si="99">IF(G899&lt;POC_BOD,-1*$K899/2,IF(G899=POC_BOD,0,NA()))</f>
        <v>-610.52108890684519</v>
      </c>
      <c r="I899" s="2">
        <f t="shared" ref="I899:I962" si="100">IF(G899&lt;=POC_BOD,$K899/2,IF(G899=POC_BOD,0,NA()))</f>
        <v>610.52108890684519</v>
      </c>
      <c r="J899" s="2">
        <f t="shared" ref="J899:J962" si="101">IF(G899&lt;=POC_BOD,DN_KRUH/POC_BOD*G899,"")</f>
        <v>1792</v>
      </c>
      <c r="K899" s="11">
        <f t="shared" ref="K899:K962" si="102">IF(G899&lt;POC_BOD,2*POWER(POWER(R_KRUH,2)-POWER(ABS(J899-DN_KRUH/2),2),0.5),IF(G899=POC_BOD,0,""))</f>
        <v>1221.0421778136904</v>
      </c>
      <c r="L899" s="2">
        <f t="shared" ref="L899:L962" si="103">IF(G899&lt;=POC_BOD,ABS(J899-DN_KRUH/2),IF(G899=POC_BOD,0,""))</f>
        <v>792</v>
      </c>
      <c r="M899" s="2">
        <f t="shared" si="97"/>
        <v>2447.255862291237</v>
      </c>
      <c r="N899" s="2">
        <f t="shared" si="98"/>
        <v>2968353.5381277436</v>
      </c>
    </row>
    <row r="900" spans="7:14" x14ac:dyDescent="0.25">
      <c r="G900" s="2">
        <v>897</v>
      </c>
      <c r="H900" s="2">
        <f t="shared" si="99"/>
        <v>-607.91775759554844</v>
      </c>
      <c r="I900" s="2">
        <f t="shared" si="100"/>
        <v>607.91775759554844</v>
      </c>
      <c r="J900" s="2">
        <f t="shared" si="101"/>
        <v>1794</v>
      </c>
      <c r="K900" s="11">
        <f t="shared" si="102"/>
        <v>1215.8355151910969</v>
      </c>
      <c r="L900" s="2">
        <f t="shared" si="103"/>
        <v>794</v>
      </c>
      <c r="M900" s="2">
        <f t="shared" ref="M900:M963" si="104">IF(G899&lt;=POC_BOD,(K899+K900)/2*(J900-J899),"")</f>
        <v>2436.877693004787</v>
      </c>
      <c r="N900" s="2">
        <f t="shared" ref="N900:N963" si="105">IF(G899&lt;=POC_BOD,((K899+K900)/2*(J900-J899))+N899,"")</f>
        <v>2970790.4158207485</v>
      </c>
    </row>
    <row r="901" spans="7:14" x14ac:dyDescent="0.25">
      <c r="G901" s="2">
        <v>898</v>
      </c>
      <c r="H901" s="2">
        <f t="shared" si="99"/>
        <v>-605.2966215005664</v>
      </c>
      <c r="I901" s="2">
        <f t="shared" si="100"/>
        <v>605.2966215005664</v>
      </c>
      <c r="J901" s="2">
        <f t="shared" si="101"/>
        <v>1796</v>
      </c>
      <c r="K901" s="11">
        <f t="shared" si="102"/>
        <v>1210.5932430011328</v>
      </c>
      <c r="L901" s="2">
        <f t="shared" si="103"/>
        <v>796</v>
      </c>
      <c r="M901" s="2">
        <f t="shared" si="104"/>
        <v>2426.4287581922299</v>
      </c>
      <c r="N901" s="2">
        <f t="shared" si="105"/>
        <v>2973216.8445789409</v>
      </c>
    </row>
    <row r="902" spans="7:14" x14ac:dyDescent="0.25">
      <c r="G902" s="2">
        <v>899</v>
      </c>
      <c r="H902" s="2">
        <f t="shared" si="99"/>
        <v>-602.65744830707933</v>
      </c>
      <c r="I902" s="2">
        <f t="shared" si="100"/>
        <v>602.65744830707933</v>
      </c>
      <c r="J902" s="2">
        <f t="shared" si="101"/>
        <v>1798</v>
      </c>
      <c r="K902" s="11">
        <f t="shared" si="102"/>
        <v>1205.3148966141587</v>
      </c>
      <c r="L902" s="2">
        <f t="shared" si="103"/>
        <v>798</v>
      </c>
      <c r="M902" s="2">
        <f t="shared" si="104"/>
        <v>2415.9081396152915</v>
      </c>
      <c r="N902" s="2">
        <f t="shared" si="105"/>
        <v>2975632.7527185562</v>
      </c>
    </row>
    <row r="903" spans="7:14" x14ac:dyDescent="0.25">
      <c r="G903" s="2">
        <v>900</v>
      </c>
      <c r="H903" s="2">
        <f t="shared" si="99"/>
        <v>-600</v>
      </c>
      <c r="I903" s="2">
        <f t="shared" si="100"/>
        <v>600</v>
      </c>
      <c r="J903" s="2">
        <f t="shared" si="101"/>
        <v>1800</v>
      </c>
      <c r="K903" s="11">
        <f t="shared" si="102"/>
        <v>1200</v>
      </c>
      <c r="L903" s="2">
        <f t="shared" si="103"/>
        <v>800</v>
      </c>
      <c r="M903" s="2">
        <f t="shared" si="104"/>
        <v>2405.3148966141589</v>
      </c>
      <c r="N903" s="2">
        <f t="shared" si="105"/>
        <v>2978038.0676151705</v>
      </c>
    </row>
    <row r="904" spans="7:14" x14ac:dyDescent="0.25">
      <c r="G904" s="2">
        <v>901</v>
      </c>
      <c r="H904" s="2">
        <f t="shared" si="99"/>
        <v>-597.32403266568804</v>
      </c>
      <c r="I904" s="2">
        <f t="shared" si="100"/>
        <v>597.32403266568804</v>
      </c>
      <c r="J904" s="2">
        <f t="shared" si="101"/>
        <v>1802</v>
      </c>
      <c r="K904" s="11">
        <f t="shared" si="102"/>
        <v>1194.6480653313761</v>
      </c>
      <c r="L904" s="2">
        <f t="shared" si="103"/>
        <v>802</v>
      </c>
      <c r="M904" s="2">
        <f t="shared" si="104"/>
        <v>2394.6480653313761</v>
      </c>
      <c r="N904" s="2">
        <f t="shared" si="105"/>
        <v>2980432.7156805019</v>
      </c>
    </row>
    <row r="905" spans="7:14" x14ac:dyDescent="0.25">
      <c r="G905" s="2">
        <v>902</v>
      </c>
      <c r="H905" s="2">
        <f t="shared" si="99"/>
        <v>-594.62929628466838</v>
      </c>
      <c r="I905" s="2">
        <f t="shared" si="100"/>
        <v>594.62929628466838</v>
      </c>
      <c r="J905" s="2">
        <f t="shared" si="101"/>
        <v>1804</v>
      </c>
      <c r="K905" s="11">
        <f t="shared" si="102"/>
        <v>1189.2585925693368</v>
      </c>
      <c r="L905" s="2">
        <f t="shared" si="103"/>
        <v>804</v>
      </c>
      <c r="M905" s="2">
        <f t="shared" si="104"/>
        <v>2383.9066579007131</v>
      </c>
      <c r="N905" s="2">
        <f t="shared" si="105"/>
        <v>2982816.6223384026</v>
      </c>
    </row>
    <row r="906" spans="7:14" x14ac:dyDescent="0.25">
      <c r="G906" s="2">
        <v>903</v>
      </c>
      <c r="H906" s="2">
        <f t="shared" si="99"/>
        <v>-591.91553451484947</v>
      </c>
      <c r="I906" s="2">
        <f t="shared" si="100"/>
        <v>591.91553451484947</v>
      </c>
      <c r="J906" s="2">
        <f t="shared" si="101"/>
        <v>1806</v>
      </c>
      <c r="K906" s="11">
        <f t="shared" si="102"/>
        <v>1183.8310690296989</v>
      </c>
      <c r="L906" s="2">
        <f t="shared" si="103"/>
        <v>806</v>
      </c>
      <c r="M906" s="2">
        <f t="shared" si="104"/>
        <v>2373.0896615990359</v>
      </c>
      <c r="N906" s="2">
        <f t="shared" si="105"/>
        <v>2985189.7120000017</v>
      </c>
    </row>
    <row r="907" spans="7:14" x14ac:dyDescent="0.25">
      <c r="G907" s="2">
        <v>904</v>
      </c>
      <c r="H907" s="2">
        <f t="shared" si="99"/>
        <v>-589.18248446470295</v>
      </c>
      <c r="I907" s="2">
        <f t="shared" si="100"/>
        <v>589.18248446470295</v>
      </c>
      <c r="J907" s="2">
        <f t="shared" si="101"/>
        <v>1808</v>
      </c>
      <c r="K907" s="11">
        <f t="shared" si="102"/>
        <v>1178.3649689294059</v>
      </c>
      <c r="L907" s="2">
        <f t="shared" si="103"/>
        <v>808</v>
      </c>
      <c r="M907" s="2">
        <f t="shared" si="104"/>
        <v>2362.1960379591046</v>
      </c>
      <c r="N907" s="2">
        <f t="shared" si="105"/>
        <v>2987551.908037961</v>
      </c>
    </row>
    <row r="908" spans="7:14" x14ac:dyDescent="0.25">
      <c r="G908" s="2">
        <v>905</v>
      </c>
      <c r="H908" s="2">
        <f t="shared" si="99"/>
        <v>-586.42987645582991</v>
      </c>
      <c r="I908" s="2">
        <f t="shared" si="100"/>
        <v>586.42987645582991</v>
      </c>
      <c r="J908" s="2">
        <f t="shared" si="101"/>
        <v>1810</v>
      </c>
      <c r="K908" s="11">
        <f t="shared" si="102"/>
        <v>1172.8597529116598</v>
      </c>
      <c r="L908" s="2">
        <f t="shared" si="103"/>
        <v>810</v>
      </c>
      <c r="M908" s="2">
        <f t="shared" si="104"/>
        <v>2351.2247218410657</v>
      </c>
      <c r="N908" s="2">
        <f t="shared" si="105"/>
        <v>2989903.132759802</v>
      </c>
    </row>
    <row r="909" spans="7:14" x14ac:dyDescent="0.25">
      <c r="G909" s="2">
        <v>906</v>
      </c>
      <c r="H909" s="2">
        <f t="shared" si="99"/>
        <v>-583.65743377429885</v>
      </c>
      <c r="I909" s="2">
        <f t="shared" si="100"/>
        <v>583.65743377429885</v>
      </c>
      <c r="J909" s="2">
        <f t="shared" si="101"/>
        <v>1812</v>
      </c>
      <c r="K909" s="11">
        <f t="shared" si="102"/>
        <v>1167.3148675485977</v>
      </c>
      <c r="L909" s="2">
        <f t="shared" si="103"/>
        <v>812</v>
      </c>
      <c r="M909" s="2">
        <f t="shared" si="104"/>
        <v>2340.1746204602578</v>
      </c>
      <c r="N909" s="2">
        <f t="shared" si="105"/>
        <v>2992243.3073802623</v>
      </c>
    </row>
    <row r="910" spans="7:14" x14ac:dyDescent="0.25">
      <c r="G910" s="2">
        <v>907</v>
      </c>
      <c r="H910" s="2">
        <f t="shared" si="99"/>
        <v>-580.86487241009854</v>
      </c>
      <c r="I910" s="2">
        <f t="shared" si="100"/>
        <v>580.86487241009854</v>
      </c>
      <c r="J910" s="2">
        <f t="shared" si="101"/>
        <v>1814</v>
      </c>
      <c r="K910" s="11">
        <f t="shared" si="102"/>
        <v>1161.7297448201971</v>
      </c>
      <c r="L910" s="2">
        <f t="shared" si="103"/>
        <v>814</v>
      </c>
      <c r="M910" s="2">
        <f t="shared" si="104"/>
        <v>2329.0446123687948</v>
      </c>
      <c r="N910" s="2">
        <f t="shared" si="105"/>
        <v>2994572.3519926309</v>
      </c>
    </row>
    <row r="911" spans="7:14" x14ac:dyDescent="0.25">
      <c r="G911" s="2">
        <v>908</v>
      </c>
      <c r="H911" s="2">
        <f t="shared" si="99"/>
        <v>-578.05190078400403</v>
      </c>
      <c r="I911" s="2">
        <f t="shared" si="100"/>
        <v>578.05190078400403</v>
      </c>
      <c r="J911" s="2">
        <f t="shared" si="101"/>
        <v>1816</v>
      </c>
      <c r="K911" s="11">
        <f t="shared" si="102"/>
        <v>1156.1038015680081</v>
      </c>
      <c r="L911" s="2">
        <f t="shared" si="103"/>
        <v>816</v>
      </c>
      <c r="M911" s="2">
        <f t="shared" si="104"/>
        <v>2317.8335463882049</v>
      </c>
      <c r="N911" s="2">
        <f t="shared" si="105"/>
        <v>2996890.1855390193</v>
      </c>
    </row>
    <row r="912" spans="7:14" x14ac:dyDescent="0.25">
      <c r="G912" s="2">
        <v>909</v>
      </c>
      <c r="H912" s="2">
        <f t="shared" si="99"/>
        <v>-575.21821946110151</v>
      </c>
      <c r="I912" s="2">
        <f t="shared" si="100"/>
        <v>575.21821946110151</v>
      </c>
      <c r="J912" s="2">
        <f t="shared" si="101"/>
        <v>1818</v>
      </c>
      <c r="K912" s="11">
        <f t="shared" si="102"/>
        <v>1150.436438922203</v>
      </c>
      <c r="L912" s="2">
        <f t="shared" si="103"/>
        <v>818</v>
      </c>
      <c r="M912" s="2">
        <f t="shared" si="104"/>
        <v>2306.5402404902111</v>
      </c>
      <c r="N912" s="2">
        <f t="shared" si="105"/>
        <v>2999196.7257795096</v>
      </c>
    </row>
    <row r="913" spans="7:14" x14ac:dyDescent="0.25">
      <c r="G913" s="2">
        <v>910</v>
      </c>
      <c r="H913" s="2">
        <f t="shared" si="99"/>
        <v>-572.36352085016733</v>
      </c>
      <c r="I913" s="2">
        <f t="shared" si="100"/>
        <v>572.36352085016733</v>
      </c>
      <c r="J913" s="2">
        <f t="shared" si="101"/>
        <v>1820</v>
      </c>
      <c r="K913" s="11">
        <f t="shared" si="102"/>
        <v>1144.7270417003347</v>
      </c>
      <c r="L913" s="2">
        <f t="shared" si="103"/>
        <v>820</v>
      </c>
      <c r="M913" s="2">
        <f t="shared" si="104"/>
        <v>2295.1634806225375</v>
      </c>
      <c r="N913" s="2">
        <f t="shared" si="105"/>
        <v>3001491.8892601323</v>
      </c>
    </row>
    <row r="914" spans="7:14" x14ac:dyDescent="0.25">
      <c r="G914" s="2">
        <v>911</v>
      </c>
      <c r="H914" s="2">
        <f t="shared" si="99"/>
        <v>-569.48748888803516</v>
      </c>
      <c r="I914" s="2">
        <f t="shared" si="100"/>
        <v>569.48748888803516</v>
      </c>
      <c r="J914" s="2">
        <f t="shared" si="101"/>
        <v>1822</v>
      </c>
      <c r="K914" s="11">
        <f t="shared" si="102"/>
        <v>1138.9749777760703</v>
      </c>
      <c r="L914" s="2">
        <f t="shared" si="103"/>
        <v>822</v>
      </c>
      <c r="M914" s="2">
        <f t="shared" si="104"/>
        <v>2283.702019476405</v>
      </c>
      <c r="N914" s="2">
        <f t="shared" si="105"/>
        <v>3003775.5912796087</v>
      </c>
    </row>
    <row r="915" spans="7:14" x14ac:dyDescent="0.25">
      <c r="G915" s="2">
        <v>912</v>
      </c>
      <c r="H915" s="2">
        <f t="shared" si="99"/>
        <v>-566.58979870802477</v>
      </c>
      <c r="I915" s="2">
        <f t="shared" si="100"/>
        <v>566.58979870802477</v>
      </c>
      <c r="J915" s="2">
        <f t="shared" si="101"/>
        <v>1824</v>
      </c>
      <c r="K915" s="11">
        <f t="shared" si="102"/>
        <v>1133.1795974160495</v>
      </c>
      <c r="L915" s="2">
        <f t="shared" si="103"/>
        <v>824</v>
      </c>
      <c r="M915" s="2">
        <f t="shared" si="104"/>
        <v>2272.1545751921199</v>
      </c>
      <c r="N915" s="2">
        <f t="shared" si="105"/>
        <v>3006047.7458548006</v>
      </c>
    </row>
    <row r="916" spans="7:14" x14ac:dyDescent="0.25">
      <c r="G916" s="2">
        <v>913</v>
      </c>
      <c r="H916" s="2">
        <f t="shared" si="99"/>
        <v>-563.67011629143508</v>
      </c>
      <c r="I916" s="2">
        <f t="shared" si="100"/>
        <v>563.67011629143508</v>
      </c>
      <c r="J916" s="2">
        <f t="shared" si="101"/>
        <v>1826</v>
      </c>
      <c r="K916" s="11">
        <f t="shared" si="102"/>
        <v>1127.3402325828702</v>
      </c>
      <c r="L916" s="2">
        <f t="shared" si="103"/>
        <v>826</v>
      </c>
      <c r="M916" s="2">
        <f t="shared" si="104"/>
        <v>2260.5198299989197</v>
      </c>
      <c r="N916" s="2">
        <f t="shared" si="105"/>
        <v>3008308.2656847993</v>
      </c>
    </row>
    <row r="917" spans="7:14" x14ac:dyDescent="0.25">
      <c r="G917" s="2">
        <v>914</v>
      </c>
      <c r="H917" s="2">
        <f t="shared" si="99"/>
        <v>-560.72809810103149</v>
      </c>
      <c r="I917" s="2">
        <f t="shared" si="100"/>
        <v>560.72809810103149</v>
      </c>
      <c r="J917" s="2">
        <f t="shared" si="101"/>
        <v>1828</v>
      </c>
      <c r="K917" s="11">
        <f t="shared" si="102"/>
        <v>1121.456196202063</v>
      </c>
      <c r="L917" s="2">
        <f t="shared" si="103"/>
        <v>828</v>
      </c>
      <c r="M917" s="2">
        <f t="shared" si="104"/>
        <v>2248.7964287849331</v>
      </c>
      <c r="N917" s="2">
        <f t="shared" si="105"/>
        <v>3010557.062113584</v>
      </c>
    </row>
    <row r="918" spans="7:14" x14ac:dyDescent="0.25">
      <c r="G918" s="2">
        <v>915</v>
      </c>
      <c r="H918" s="2">
        <f t="shared" si="99"/>
        <v>-557.76339069537357</v>
      </c>
      <c r="I918" s="2">
        <f t="shared" si="100"/>
        <v>557.76339069537357</v>
      </c>
      <c r="J918" s="2">
        <f t="shared" si="101"/>
        <v>1830</v>
      </c>
      <c r="K918" s="11">
        <f t="shared" si="102"/>
        <v>1115.5267813907471</v>
      </c>
      <c r="L918" s="2">
        <f t="shared" si="103"/>
        <v>830</v>
      </c>
      <c r="M918" s="2">
        <f t="shared" si="104"/>
        <v>2236.9829775928101</v>
      </c>
      <c r="N918" s="2">
        <f t="shared" si="105"/>
        <v>3012794.0450911769</v>
      </c>
    </row>
    <row r="919" spans="7:14" x14ac:dyDescent="0.25">
      <c r="G919" s="2">
        <v>916</v>
      </c>
      <c r="H919" s="2">
        <f t="shared" si="99"/>
        <v>-554.77563032274588</v>
      </c>
      <c r="I919" s="2">
        <f t="shared" si="100"/>
        <v>554.77563032274588</v>
      </c>
      <c r="J919" s="2">
        <f t="shared" si="101"/>
        <v>1832</v>
      </c>
      <c r="K919" s="11">
        <f t="shared" si="102"/>
        <v>1109.5512606454918</v>
      </c>
      <c r="L919" s="2">
        <f t="shared" si="103"/>
        <v>832</v>
      </c>
      <c r="M919" s="2">
        <f t="shared" si="104"/>
        <v>2225.0780420362389</v>
      </c>
      <c r="N919" s="2">
        <f t="shared" si="105"/>
        <v>3015019.1231332133</v>
      </c>
    </row>
    <row r="920" spans="7:14" x14ac:dyDescent="0.25">
      <c r="G920" s="2">
        <v>917</v>
      </c>
      <c r="H920" s="2">
        <f t="shared" si="99"/>
        <v>-551.76444249335236</v>
      </c>
      <c r="I920" s="2">
        <f t="shared" si="100"/>
        <v>551.76444249335236</v>
      </c>
      <c r="J920" s="2">
        <f t="shared" si="101"/>
        <v>1834</v>
      </c>
      <c r="K920" s="11">
        <f t="shared" si="102"/>
        <v>1103.5288849867047</v>
      </c>
      <c r="L920" s="2">
        <f t="shared" si="103"/>
        <v>834</v>
      </c>
      <c r="M920" s="2">
        <f t="shared" si="104"/>
        <v>2213.0801456321965</v>
      </c>
      <c r="N920" s="2">
        <f t="shared" si="105"/>
        <v>3017232.2032788456</v>
      </c>
    </row>
    <row r="921" spans="7:14" x14ac:dyDescent="0.25">
      <c r="G921" s="2">
        <v>918</v>
      </c>
      <c r="H921" s="2">
        <f t="shared" si="99"/>
        <v>-548.72944152833645</v>
      </c>
      <c r="I921" s="2">
        <f t="shared" si="100"/>
        <v>548.72944152833645</v>
      </c>
      <c r="J921" s="2">
        <f t="shared" si="101"/>
        <v>1836</v>
      </c>
      <c r="K921" s="11">
        <f t="shared" si="102"/>
        <v>1097.4588830566729</v>
      </c>
      <c r="L921" s="2">
        <f t="shared" si="103"/>
        <v>836</v>
      </c>
      <c r="M921" s="2">
        <f t="shared" si="104"/>
        <v>2200.9877680433774</v>
      </c>
      <c r="N921" s="2">
        <f t="shared" si="105"/>
        <v>3019433.1910468889</v>
      </c>
    </row>
    <row r="922" spans="7:14" x14ac:dyDescent="0.25">
      <c r="G922" s="2">
        <v>919</v>
      </c>
      <c r="H922" s="2">
        <f t="shared" si="99"/>
        <v>-545.67023008406829</v>
      </c>
      <c r="I922" s="2">
        <f t="shared" si="100"/>
        <v>545.67023008406829</v>
      </c>
      <c r="J922" s="2">
        <f t="shared" si="101"/>
        <v>1838</v>
      </c>
      <c r="K922" s="11">
        <f t="shared" si="102"/>
        <v>1091.3404601681366</v>
      </c>
      <c r="L922" s="2">
        <f t="shared" si="103"/>
        <v>838</v>
      </c>
      <c r="M922" s="2">
        <f t="shared" si="104"/>
        <v>2188.7993432248095</v>
      </c>
      <c r="N922" s="2">
        <f t="shared" si="105"/>
        <v>3021621.9903901136</v>
      </c>
    </row>
    <row r="923" spans="7:14" x14ac:dyDescent="0.25">
      <c r="G923" s="2">
        <v>920</v>
      </c>
      <c r="H923" s="2">
        <f t="shared" si="99"/>
        <v>-542.58639865002147</v>
      </c>
      <c r="I923" s="2">
        <f t="shared" si="100"/>
        <v>542.58639865002147</v>
      </c>
      <c r="J923" s="2">
        <f t="shared" si="101"/>
        <v>1840</v>
      </c>
      <c r="K923" s="11">
        <f t="shared" si="102"/>
        <v>1085.1727973000429</v>
      </c>
      <c r="L923" s="2">
        <f t="shared" si="103"/>
        <v>840</v>
      </c>
      <c r="M923" s="2">
        <f t="shared" si="104"/>
        <v>2176.5132574681793</v>
      </c>
      <c r="N923" s="2">
        <f t="shared" si="105"/>
        <v>3023798.5036475817</v>
      </c>
    </row>
    <row r="924" spans="7:14" x14ac:dyDescent="0.25">
      <c r="G924" s="2">
        <v>921</v>
      </c>
      <c r="H924" s="2">
        <f t="shared" si="99"/>
        <v>-539.47752501842001</v>
      </c>
      <c r="I924" s="2">
        <f t="shared" si="100"/>
        <v>539.47752501842001</v>
      </c>
      <c r="J924" s="2">
        <f t="shared" si="101"/>
        <v>1842</v>
      </c>
      <c r="K924" s="11">
        <f t="shared" si="102"/>
        <v>1078.95505003684</v>
      </c>
      <c r="L924" s="2">
        <f t="shared" si="103"/>
        <v>842</v>
      </c>
      <c r="M924" s="2">
        <f t="shared" si="104"/>
        <v>2164.127847336883</v>
      </c>
      <c r="N924" s="2">
        <f t="shared" si="105"/>
        <v>3025962.6314949184</v>
      </c>
    </row>
    <row r="925" spans="7:14" x14ac:dyDescent="0.25">
      <c r="G925" s="2">
        <v>922</v>
      </c>
      <c r="H925" s="2">
        <f t="shared" si="99"/>
        <v>-536.34317372368969</v>
      </c>
      <c r="I925" s="2">
        <f t="shared" si="100"/>
        <v>536.34317372368969</v>
      </c>
      <c r="J925" s="2">
        <f t="shared" si="101"/>
        <v>1844</v>
      </c>
      <c r="K925" s="11">
        <f t="shared" si="102"/>
        <v>1072.6863474473794</v>
      </c>
      <c r="L925" s="2">
        <f t="shared" si="103"/>
        <v>844</v>
      </c>
      <c r="M925" s="2">
        <f t="shared" si="104"/>
        <v>2151.6413974842194</v>
      </c>
      <c r="N925" s="2">
        <f t="shared" si="105"/>
        <v>3028114.2728924025</v>
      </c>
    </row>
    <row r="926" spans="7:14" x14ac:dyDescent="0.25">
      <c r="G926" s="2">
        <v>923</v>
      </c>
      <c r="H926" s="2">
        <f t="shared" si="99"/>
        <v>-533.18289544958213</v>
      </c>
      <c r="I926" s="2">
        <f t="shared" si="100"/>
        <v>533.18289544958213</v>
      </c>
      <c r="J926" s="2">
        <f t="shared" si="101"/>
        <v>1846</v>
      </c>
      <c r="K926" s="11">
        <f t="shared" si="102"/>
        <v>1066.3657908991643</v>
      </c>
      <c r="L926" s="2">
        <f t="shared" si="103"/>
        <v>846</v>
      </c>
      <c r="M926" s="2">
        <f t="shared" si="104"/>
        <v>2139.0521383465439</v>
      </c>
      <c r="N926" s="2">
        <f t="shared" si="105"/>
        <v>3030253.3250307492</v>
      </c>
    </row>
    <row r="927" spans="7:14" x14ac:dyDescent="0.25">
      <c r="G927" s="2">
        <v>924</v>
      </c>
      <c r="H927" s="2">
        <f t="shared" si="99"/>
        <v>-529.99622640166035</v>
      </c>
      <c r="I927" s="2">
        <f t="shared" si="100"/>
        <v>529.99622640166035</v>
      </c>
      <c r="J927" s="2">
        <f t="shared" si="101"/>
        <v>1848</v>
      </c>
      <c r="K927" s="11">
        <f t="shared" si="102"/>
        <v>1059.9924528033207</v>
      </c>
      <c r="L927" s="2">
        <f t="shared" si="103"/>
        <v>848</v>
      </c>
      <c r="M927" s="2">
        <f t="shared" si="104"/>
        <v>2126.3582437024852</v>
      </c>
      <c r="N927" s="2">
        <f t="shared" si="105"/>
        <v>3032379.6832744516</v>
      </c>
    </row>
    <row r="928" spans="7:14" x14ac:dyDescent="0.25">
      <c r="G928" s="2">
        <v>925</v>
      </c>
      <c r="H928" s="2">
        <f t="shared" si="99"/>
        <v>-526.78268764263692</v>
      </c>
      <c r="I928" s="2">
        <f t="shared" si="100"/>
        <v>526.78268764263692</v>
      </c>
      <c r="J928" s="2">
        <f t="shared" si="101"/>
        <v>1850</v>
      </c>
      <c r="K928" s="11">
        <f t="shared" si="102"/>
        <v>1053.5653752852738</v>
      </c>
      <c r="L928" s="2">
        <f t="shared" si="103"/>
        <v>850</v>
      </c>
      <c r="M928" s="2">
        <f t="shared" si="104"/>
        <v>2113.5578280885948</v>
      </c>
      <c r="N928" s="2">
        <f t="shared" si="105"/>
        <v>3034493.2411025404</v>
      </c>
    </row>
    <row r="929" spans="7:14" x14ac:dyDescent="0.25">
      <c r="G929" s="2">
        <v>926</v>
      </c>
      <c r="H929" s="2">
        <f t="shared" si="99"/>
        <v>-523.54178438783663</v>
      </c>
      <c r="I929" s="2">
        <f t="shared" si="100"/>
        <v>523.54178438783663</v>
      </c>
      <c r="J929" s="2">
        <f t="shared" si="101"/>
        <v>1852</v>
      </c>
      <c r="K929" s="11">
        <f t="shared" si="102"/>
        <v>1047.0835687756733</v>
      </c>
      <c r="L929" s="2">
        <f t="shared" si="103"/>
        <v>852</v>
      </c>
      <c r="M929" s="2">
        <f t="shared" si="104"/>
        <v>2100.6489440609471</v>
      </c>
      <c r="N929" s="2">
        <f t="shared" si="105"/>
        <v>3036593.8900466012</v>
      </c>
    </row>
    <row r="930" spans="7:14" x14ac:dyDescent="0.25">
      <c r="G930" s="2">
        <v>927</v>
      </c>
      <c r="H930" s="2">
        <f t="shared" si="99"/>
        <v>-520.27300525781652</v>
      </c>
      <c r="I930" s="2">
        <f t="shared" si="100"/>
        <v>520.27300525781652</v>
      </c>
      <c r="J930" s="2">
        <f t="shared" si="101"/>
        <v>1854</v>
      </c>
      <c r="K930" s="11">
        <f t="shared" si="102"/>
        <v>1040.546010515633</v>
      </c>
      <c r="L930" s="2">
        <f t="shared" si="103"/>
        <v>854</v>
      </c>
      <c r="M930" s="2">
        <f t="shared" si="104"/>
        <v>2087.6295792913061</v>
      </c>
      <c r="N930" s="2">
        <f t="shared" si="105"/>
        <v>3038681.5196258924</v>
      </c>
    </row>
    <row r="931" spans="7:14" x14ac:dyDescent="0.25">
      <c r="G931" s="2">
        <v>928</v>
      </c>
      <c r="H931" s="2">
        <f t="shared" si="99"/>
        <v>-516.97582148491233</v>
      </c>
      <c r="I931" s="2">
        <f t="shared" si="100"/>
        <v>516.97582148491233</v>
      </c>
      <c r="J931" s="2">
        <f t="shared" si="101"/>
        <v>1856</v>
      </c>
      <c r="K931" s="11">
        <f t="shared" si="102"/>
        <v>1033.9516429698247</v>
      </c>
      <c r="L931" s="2">
        <f t="shared" si="103"/>
        <v>856</v>
      </c>
      <c r="M931" s="2">
        <f t="shared" si="104"/>
        <v>2074.4976534854577</v>
      </c>
      <c r="N931" s="2">
        <f t="shared" si="105"/>
        <v>3040756.0172793777</v>
      </c>
    </row>
    <row r="932" spans="7:14" x14ac:dyDescent="0.25">
      <c r="G932" s="2">
        <v>929</v>
      </c>
      <c r="H932" s="2">
        <f t="shared" si="99"/>
        <v>-513.64968607018534</v>
      </c>
      <c r="I932" s="2">
        <f t="shared" si="100"/>
        <v>513.64968607018534</v>
      </c>
      <c r="J932" s="2">
        <f t="shared" si="101"/>
        <v>1858</v>
      </c>
      <c r="K932" s="11">
        <f t="shared" si="102"/>
        <v>1027.2993721403707</v>
      </c>
      <c r="L932" s="2">
        <f t="shared" si="103"/>
        <v>858</v>
      </c>
      <c r="M932" s="2">
        <f t="shared" si="104"/>
        <v>2061.2510151101951</v>
      </c>
      <c r="N932" s="2">
        <f t="shared" si="105"/>
        <v>3042817.2682944881</v>
      </c>
    </row>
    <row r="933" spans="7:14" x14ac:dyDescent="0.25">
      <c r="G933" s="2">
        <v>930</v>
      </c>
      <c r="H933" s="2">
        <f t="shared" si="99"/>
        <v>-510.29403288692293</v>
      </c>
      <c r="I933" s="2">
        <f t="shared" si="100"/>
        <v>510.29403288692293</v>
      </c>
      <c r="J933" s="2">
        <f t="shared" si="101"/>
        <v>1860</v>
      </c>
      <c r="K933" s="11">
        <f t="shared" si="102"/>
        <v>1020.5880657738459</v>
      </c>
      <c r="L933" s="2">
        <f t="shared" si="103"/>
        <v>860</v>
      </c>
      <c r="M933" s="2">
        <f t="shared" si="104"/>
        <v>2047.8874379142167</v>
      </c>
      <c r="N933" s="2">
        <f t="shared" si="105"/>
        <v>3044865.1557324021</v>
      </c>
    </row>
    <row r="934" spans="7:14" x14ac:dyDescent="0.25">
      <c r="G934" s="2">
        <v>931</v>
      </c>
      <c r="H934" s="2">
        <f t="shared" si="99"/>
        <v>-506.90827572648681</v>
      </c>
      <c r="I934" s="2">
        <f t="shared" si="100"/>
        <v>506.90827572648681</v>
      </c>
      <c r="J934" s="2">
        <f t="shared" si="101"/>
        <v>1862</v>
      </c>
      <c r="K934" s="11">
        <f t="shared" si="102"/>
        <v>1013.8165514529736</v>
      </c>
      <c r="L934" s="2">
        <f t="shared" si="103"/>
        <v>862</v>
      </c>
      <c r="M934" s="2">
        <f t="shared" si="104"/>
        <v>2034.4046172268195</v>
      </c>
      <c r="N934" s="2">
        <f t="shared" si="105"/>
        <v>3046899.5603496288</v>
      </c>
    </row>
    <row r="935" spans="7:14" x14ac:dyDescent="0.25">
      <c r="G935" s="2">
        <v>932</v>
      </c>
      <c r="H935" s="2">
        <f t="shared" si="99"/>
        <v>-503.49180728190601</v>
      </c>
      <c r="I935" s="2">
        <f t="shared" si="100"/>
        <v>503.49180728190601</v>
      </c>
      <c r="J935" s="2">
        <f t="shared" si="101"/>
        <v>1864</v>
      </c>
      <c r="K935" s="11">
        <f t="shared" si="102"/>
        <v>1006.983614563812</v>
      </c>
      <c r="L935" s="2">
        <f t="shared" si="103"/>
        <v>864</v>
      </c>
      <c r="M935" s="2">
        <f t="shared" si="104"/>
        <v>2020.8001660167856</v>
      </c>
      <c r="N935" s="2">
        <f t="shared" si="105"/>
        <v>3048920.3605156457</v>
      </c>
    </row>
    <row r="936" spans="7:14" x14ac:dyDescent="0.25">
      <c r="G936" s="2">
        <v>933</v>
      </c>
      <c r="H936" s="2">
        <f t="shared" si="99"/>
        <v>-500.04399806417035</v>
      </c>
      <c r="I936" s="2">
        <f t="shared" si="100"/>
        <v>500.04399806417035</v>
      </c>
      <c r="J936" s="2">
        <f t="shared" si="101"/>
        <v>1866</v>
      </c>
      <c r="K936" s="11">
        <f t="shared" si="102"/>
        <v>1000.0879961283407</v>
      </c>
      <c r="L936" s="2">
        <f t="shared" si="103"/>
        <v>866</v>
      </c>
      <c r="M936" s="2">
        <f t="shared" si="104"/>
        <v>2007.0716106921527</v>
      </c>
      <c r="N936" s="2">
        <f t="shared" si="105"/>
        <v>3050927.4321263377</v>
      </c>
    </row>
    <row r="937" spans="7:14" x14ac:dyDescent="0.25">
      <c r="G937" s="2">
        <v>934</v>
      </c>
      <c r="H937" s="2">
        <f t="shared" si="99"/>
        <v>-496.56419524569026</v>
      </c>
      <c r="I937" s="2">
        <f t="shared" si="100"/>
        <v>496.56419524569026</v>
      </c>
      <c r="J937" s="2">
        <f t="shared" si="101"/>
        <v>1868</v>
      </c>
      <c r="K937" s="11">
        <f t="shared" si="102"/>
        <v>993.12839049138051</v>
      </c>
      <c r="L937" s="2">
        <f t="shared" si="103"/>
        <v>868</v>
      </c>
      <c r="M937" s="2">
        <f t="shared" si="104"/>
        <v>1993.2163866197211</v>
      </c>
      <c r="N937" s="2">
        <f t="shared" si="105"/>
        <v>3052920.6485129572</v>
      </c>
    </row>
    <row r="938" spans="7:14" x14ac:dyDescent="0.25">
      <c r="G938" s="2">
        <v>935</v>
      </c>
      <c r="H938" s="2">
        <f t="shared" si="99"/>
        <v>-493.05172142484201</v>
      </c>
      <c r="I938" s="2">
        <f t="shared" si="100"/>
        <v>493.05172142484201</v>
      </c>
      <c r="J938" s="2">
        <f t="shared" si="101"/>
        <v>1870</v>
      </c>
      <c r="K938" s="11">
        <f t="shared" si="102"/>
        <v>986.10344284968403</v>
      </c>
      <c r="L938" s="2">
        <f t="shared" si="103"/>
        <v>870</v>
      </c>
      <c r="M938" s="2">
        <f t="shared" si="104"/>
        <v>1979.2318333410644</v>
      </c>
      <c r="N938" s="2">
        <f t="shared" si="105"/>
        <v>3054899.8803462982</v>
      </c>
    </row>
    <row r="939" spans="7:14" x14ac:dyDescent="0.25">
      <c r="G939" s="2">
        <v>936</v>
      </c>
      <c r="H939" s="2">
        <f t="shared" si="99"/>
        <v>-489.50587330490737</v>
      </c>
      <c r="I939" s="2">
        <f t="shared" si="100"/>
        <v>489.50587330490737</v>
      </c>
      <c r="J939" s="2">
        <f t="shared" si="101"/>
        <v>1872</v>
      </c>
      <c r="K939" s="11">
        <f t="shared" si="102"/>
        <v>979.01174660981474</v>
      </c>
      <c r="L939" s="2">
        <f t="shared" si="103"/>
        <v>872</v>
      </c>
      <c r="M939" s="2">
        <f t="shared" si="104"/>
        <v>1965.1151894594987</v>
      </c>
      <c r="N939" s="2">
        <f t="shared" si="105"/>
        <v>3056864.9955357579</v>
      </c>
    </row>
    <row r="940" spans="7:14" x14ac:dyDescent="0.25">
      <c r="G940" s="2">
        <v>937</v>
      </c>
      <c r="H940" s="2">
        <f t="shared" si="99"/>
        <v>-485.92592028003611</v>
      </c>
      <c r="I940" s="2">
        <f t="shared" si="100"/>
        <v>485.92592028003611</v>
      </c>
      <c r="J940" s="2">
        <f t="shared" si="101"/>
        <v>1874</v>
      </c>
      <c r="K940" s="11">
        <f t="shared" si="102"/>
        <v>971.85184056007222</v>
      </c>
      <c r="L940" s="2">
        <f t="shared" si="103"/>
        <v>874</v>
      </c>
      <c r="M940" s="2">
        <f t="shared" si="104"/>
        <v>1950.8635871698871</v>
      </c>
      <c r="N940" s="2">
        <f t="shared" si="105"/>
        <v>3058815.8591229278</v>
      </c>
    </row>
    <row r="941" spans="7:14" x14ac:dyDescent="0.25">
      <c r="G941" s="2">
        <v>938</v>
      </c>
      <c r="H941" s="2">
        <f t="shared" si="99"/>
        <v>-482.31110292009657</v>
      </c>
      <c r="I941" s="2">
        <f t="shared" si="100"/>
        <v>482.31110292009657</v>
      </c>
      <c r="J941" s="2">
        <f t="shared" si="101"/>
        <v>1876</v>
      </c>
      <c r="K941" s="11">
        <f t="shared" si="102"/>
        <v>964.62220584019315</v>
      </c>
      <c r="L941" s="2">
        <f t="shared" si="103"/>
        <v>876</v>
      </c>
      <c r="M941" s="2">
        <f t="shared" si="104"/>
        <v>1936.4740464002653</v>
      </c>
      <c r="N941" s="2">
        <f t="shared" si="105"/>
        <v>3060752.333169328</v>
      </c>
    </row>
    <row r="942" spans="7:14" x14ac:dyDescent="0.25">
      <c r="G942" s="2">
        <v>939</v>
      </c>
      <c r="H942" s="2">
        <f t="shared" si="99"/>
        <v>-478.66063134542412</v>
      </c>
      <c r="I942" s="2">
        <f t="shared" si="100"/>
        <v>478.66063134542412</v>
      </c>
      <c r="J942" s="2">
        <f t="shared" si="101"/>
        <v>1878</v>
      </c>
      <c r="K942" s="11">
        <f t="shared" si="102"/>
        <v>957.32126269084824</v>
      </c>
      <c r="L942" s="2">
        <f t="shared" si="103"/>
        <v>878</v>
      </c>
      <c r="M942" s="2">
        <f t="shared" si="104"/>
        <v>1921.9434685310414</v>
      </c>
      <c r="N942" s="2">
        <f t="shared" si="105"/>
        <v>3062674.2766378592</v>
      </c>
    </row>
    <row r="943" spans="7:14" x14ac:dyDescent="0.25">
      <c r="G943" s="2">
        <v>940</v>
      </c>
      <c r="H943" s="2">
        <f t="shared" si="99"/>
        <v>-474.97368348151667</v>
      </c>
      <c r="I943" s="2">
        <f t="shared" si="100"/>
        <v>474.97368348151667</v>
      </c>
      <c r="J943" s="2">
        <f t="shared" si="101"/>
        <v>1880</v>
      </c>
      <c r="K943" s="11">
        <f t="shared" si="102"/>
        <v>949.94736696303335</v>
      </c>
      <c r="L943" s="2">
        <f t="shared" si="103"/>
        <v>880</v>
      </c>
      <c r="M943" s="2">
        <f t="shared" si="104"/>
        <v>1907.2686296538816</v>
      </c>
      <c r="N943" s="2">
        <f t="shared" si="105"/>
        <v>3064581.545267513</v>
      </c>
    </row>
    <row r="944" spans="7:14" x14ac:dyDescent="0.25">
      <c r="G944" s="2">
        <v>941</v>
      </c>
      <c r="H944" s="2">
        <f t="shared" si="99"/>
        <v>-471.24940318264595</v>
      </c>
      <c r="I944" s="2">
        <f t="shared" si="100"/>
        <v>471.24940318264595</v>
      </c>
      <c r="J944" s="2">
        <f t="shared" si="101"/>
        <v>1882</v>
      </c>
      <c r="K944" s="11">
        <f t="shared" si="102"/>
        <v>942.4988063652919</v>
      </c>
      <c r="L944" s="2">
        <f t="shared" si="103"/>
        <v>882</v>
      </c>
      <c r="M944" s="2">
        <f t="shared" si="104"/>
        <v>1892.4461733283251</v>
      </c>
      <c r="N944" s="2">
        <f t="shared" si="105"/>
        <v>3066473.9914408415</v>
      </c>
    </row>
    <row r="945" spans="7:14" x14ac:dyDescent="0.25">
      <c r="G945" s="2">
        <v>942</v>
      </c>
      <c r="H945" s="2">
        <f t="shared" si="99"/>
        <v>-467.48689821213173</v>
      </c>
      <c r="I945" s="2">
        <f t="shared" si="100"/>
        <v>467.48689821213173</v>
      </c>
      <c r="J945" s="2">
        <f t="shared" si="101"/>
        <v>1884</v>
      </c>
      <c r="K945" s="11">
        <f t="shared" si="102"/>
        <v>934.97379642426347</v>
      </c>
      <c r="L945" s="2">
        <f t="shared" si="103"/>
        <v>884</v>
      </c>
      <c r="M945" s="2">
        <f t="shared" si="104"/>
        <v>1877.4726027895554</v>
      </c>
      <c r="N945" s="2">
        <f t="shared" si="105"/>
        <v>3068351.4640436312</v>
      </c>
    </row>
    <row r="946" spans="7:14" x14ac:dyDescent="0.25">
      <c r="G946" s="2">
        <v>943</v>
      </c>
      <c r="H946" s="2">
        <f t="shared" si="99"/>
        <v>-463.68523806565162</v>
      </c>
      <c r="I946" s="2">
        <f t="shared" si="100"/>
        <v>463.68523806565162</v>
      </c>
      <c r="J946" s="2">
        <f t="shared" si="101"/>
        <v>1886</v>
      </c>
      <c r="K946" s="11">
        <f t="shared" si="102"/>
        <v>927.37047613130323</v>
      </c>
      <c r="L946" s="2">
        <f t="shared" si="103"/>
        <v>886</v>
      </c>
      <c r="M946" s="2">
        <f t="shared" si="104"/>
        <v>1862.3442725555667</v>
      </c>
      <c r="N946" s="2">
        <f t="shared" si="105"/>
        <v>3070213.808316187</v>
      </c>
    </row>
    <row r="947" spans="7:14" x14ac:dyDescent="0.25">
      <c r="G947" s="2">
        <v>944</v>
      </c>
      <c r="H947" s="2">
        <f t="shared" si="99"/>
        <v>-459.84345162239725</v>
      </c>
      <c r="I947" s="2">
        <f t="shared" si="100"/>
        <v>459.84345162239725</v>
      </c>
      <c r="J947" s="2">
        <f t="shared" si="101"/>
        <v>1888</v>
      </c>
      <c r="K947" s="11">
        <f t="shared" si="102"/>
        <v>919.68690324479451</v>
      </c>
      <c r="L947" s="2">
        <f t="shared" si="103"/>
        <v>888</v>
      </c>
      <c r="M947" s="2">
        <f t="shared" si="104"/>
        <v>1847.0573793760977</v>
      </c>
      <c r="N947" s="2">
        <f t="shared" si="105"/>
        <v>3072060.8656955631</v>
      </c>
    </row>
    <row r="948" spans="7:14" x14ac:dyDescent="0.25">
      <c r="G948" s="2">
        <v>945</v>
      </c>
      <c r="H948" s="2">
        <f t="shared" si="99"/>
        <v>-455.96052460711991</v>
      </c>
      <c r="I948" s="2">
        <f t="shared" si="100"/>
        <v>455.96052460711991</v>
      </c>
      <c r="J948" s="2">
        <f t="shared" si="101"/>
        <v>1890</v>
      </c>
      <c r="K948" s="11">
        <f t="shared" si="102"/>
        <v>911.92104921423982</v>
      </c>
      <c r="L948" s="2">
        <f t="shared" si="103"/>
        <v>890</v>
      </c>
      <c r="M948" s="2">
        <f t="shared" si="104"/>
        <v>1831.6079524590343</v>
      </c>
      <c r="N948" s="2">
        <f t="shared" si="105"/>
        <v>3073892.4736480224</v>
      </c>
    </row>
    <row r="949" spans="7:14" x14ac:dyDescent="0.25">
      <c r="G949" s="2">
        <v>946</v>
      </c>
      <c r="H949" s="2">
        <f t="shared" si="99"/>
        <v>-452.03539684409674</v>
      </c>
      <c r="I949" s="2">
        <f t="shared" si="100"/>
        <v>452.03539684409674</v>
      </c>
      <c r="J949" s="2">
        <f t="shared" si="101"/>
        <v>1892</v>
      </c>
      <c r="K949" s="11">
        <f t="shared" si="102"/>
        <v>904.07079368819348</v>
      </c>
      <c r="L949" s="2">
        <f t="shared" si="103"/>
        <v>892</v>
      </c>
      <c r="M949" s="2">
        <f t="shared" si="104"/>
        <v>1815.9918429024333</v>
      </c>
      <c r="N949" s="2">
        <f t="shared" si="105"/>
        <v>3075708.4654909247</v>
      </c>
    </row>
    <row r="950" spans="7:14" x14ac:dyDescent="0.25">
      <c r="G950" s="2">
        <v>947</v>
      </c>
      <c r="H950" s="2">
        <f t="shared" si="99"/>
        <v>-448.06695928175736</v>
      </c>
      <c r="I950" s="2">
        <f t="shared" si="100"/>
        <v>448.06695928175736</v>
      </c>
      <c r="J950" s="2">
        <f t="shared" si="101"/>
        <v>1894</v>
      </c>
      <c r="K950" s="11">
        <f t="shared" si="102"/>
        <v>896.13391856351473</v>
      </c>
      <c r="L950" s="2">
        <f t="shared" si="103"/>
        <v>894</v>
      </c>
      <c r="M950" s="2">
        <f t="shared" si="104"/>
        <v>1800.2047122517083</v>
      </c>
      <c r="N950" s="2">
        <f t="shared" si="105"/>
        <v>3077508.6702031763</v>
      </c>
    </row>
    <row r="951" spans="7:14" x14ac:dyDescent="0.25">
      <c r="G951" s="2">
        <v>948</v>
      </c>
      <c r="H951" s="2">
        <f t="shared" si="99"/>
        <v>-444.05405076409335</v>
      </c>
      <c r="I951" s="2">
        <f t="shared" si="100"/>
        <v>444.05405076409335</v>
      </c>
      <c r="J951" s="2">
        <f t="shared" si="101"/>
        <v>1896</v>
      </c>
      <c r="K951" s="11">
        <f t="shared" si="102"/>
        <v>888.10810152818669</v>
      </c>
      <c r="L951" s="2">
        <f t="shared" si="103"/>
        <v>896</v>
      </c>
      <c r="M951" s="2">
        <f t="shared" si="104"/>
        <v>1784.2420200917013</v>
      </c>
      <c r="N951" s="2">
        <f t="shared" si="105"/>
        <v>3079292.9122232678</v>
      </c>
    </row>
    <row r="952" spans="7:14" x14ac:dyDescent="0.25">
      <c r="G952" s="2">
        <v>949</v>
      </c>
      <c r="H952" s="2">
        <f t="shared" si="99"/>
        <v>-439.99545452197572</v>
      </c>
      <c r="I952" s="2">
        <f t="shared" si="100"/>
        <v>439.99545452197572</v>
      </c>
      <c r="J952" s="2">
        <f t="shared" si="101"/>
        <v>1898</v>
      </c>
      <c r="K952" s="11">
        <f t="shared" si="102"/>
        <v>879.99090904395143</v>
      </c>
      <c r="L952" s="2">
        <f t="shared" si="103"/>
        <v>898</v>
      </c>
      <c r="M952" s="2">
        <f t="shared" si="104"/>
        <v>1768.099010572138</v>
      </c>
      <c r="N952" s="2">
        <f t="shared" si="105"/>
        <v>3081061.0112338401</v>
      </c>
    </row>
    <row r="953" spans="7:14" x14ac:dyDescent="0.25">
      <c r="G953" s="2">
        <v>950</v>
      </c>
      <c r="H953" s="2">
        <f t="shared" si="99"/>
        <v>-435.88989435406734</v>
      </c>
      <c r="I953" s="2">
        <f t="shared" si="100"/>
        <v>435.88989435406734</v>
      </c>
      <c r="J953" s="2">
        <f t="shared" si="101"/>
        <v>1900</v>
      </c>
      <c r="K953" s="11">
        <f t="shared" si="102"/>
        <v>871.77978870813467</v>
      </c>
      <c r="L953" s="2">
        <f t="shared" si="103"/>
        <v>900</v>
      </c>
      <c r="M953" s="2">
        <f t="shared" si="104"/>
        <v>1751.7706977520861</v>
      </c>
      <c r="N953" s="2">
        <f t="shared" si="105"/>
        <v>3082812.7819315922</v>
      </c>
    </row>
    <row r="954" spans="7:14" x14ac:dyDescent="0.25">
      <c r="G954" s="2">
        <v>951</v>
      </c>
      <c r="H954" s="2">
        <f t="shared" si="99"/>
        <v>-431.73603046305971</v>
      </c>
      <c r="I954" s="2">
        <f t="shared" si="100"/>
        <v>431.73603046305971</v>
      </c>
      <c r="J954" s="2">
        <f t="shared" si="101"/>
        <v>1902</v>
      </c>
      <c r="K954" s="11">
        <f t="shared" si="102"/>
        <v>863.47206092611941</v>
      </c>
      <c r="L954" s="2">
        <f t="shared" si="103"/>
        <v>902</v>
      </c>
      <c r="M954" s="2">
        <f t="shared" si="104"/>
        <v>1735.2518496342541</v>
      </c>
      <c r="N954" s="2">
        <f t="shared" si="105"/>
        <v>3084548.0337812263</v>
      </c>
    </row>
    <row r="955" spans="7:14" x14ac:dyDescent="0.25">
      <c r="G955" s="2">
        <v>952</v>
      </c>
      <c r="H955" s="2">
        <f t="shared" si="99"/>
        <v>-427.5324549083964</v>
      </c>
      <c r="I955" s="2">
        <f t="shared" si="100"/>
        <v>427.5324549083964</v>
      </c>
      <c r="J955" s="2">
        <f t="shared" si="101"/>
        <v>1904</v>
      </c>
      <c r="K955" s="11">
        <f t="shared" si="102"/>
        <v>855.06490981679281</v>
      </c>
      <c r="L955" s="2">
        <f t="shared" si="103"/>
        <v>904</v>
      </c>
      <c r="M955" s="2">
        <f t="shared" si="104"/>
        <v>1718.5369707429122</v>
      </c>
      <c r="N955" s="2">
        <f t="shared" si="105"/>
        <v>3086266.5707519692</v>
      </c>
    </row>
    <row r="956" spans="7:14" x14ac:dyDescent="0.25">
      <c r="G956" s="2">
        <v>953</v>
      </c>
      <c r="H956" s="2">
        <f t="shared" si="99"/>
        <v>-423.27768663136499</v>
      </c>
      <c r="I956" s="2">
        <f t="shared" si="100"/>
        <v>423.27768663136499</v>
      </c>
      <c r="J956" s="2">
        <f t="shared" si="101"/>
        <v>1906</v>
      </c>
      <c r="K956" s="11">
        <f t="shared" si="102"/>
        <v>846.55537326272997</v>
      </c>
      <c r="L956" s="2">
        <f t="shared" si="103"/>
        <v>906</v>
      </c>
      <c r="M956" s="2">
        <f t="shared" si="104"/>
        <v>1701.6202830795228</v>
      </c>
      <c r="N956" s="2">
        <f t="shared" si="105"/>
        <v>3087968.1910350486</v>
      </c>
    </row>
    <row r="957" spans="7:14" x14ac:dyDescent="0.25">
      <c r="G957" s="2">
        <v>954</v>
      </c>
      <c r="H957" s="2">
        <f t="shared" si="99"/>
        <v>-418.9701660023062</v>
      </c>
      <c r="I957" s="2">
        <f t="shared" si="100"/>
        <v>418.9701660023062</v>
      </c>
      <c r="J957" s="2">
        <f t="shared" si="101"/>
        <v>1908</v>
      </c>
      <c r="K957" s="11">
        <f t="shared" si="102"/>
        <v>837.9403320046124</v>
      </c>
      <c r="L957" s="2">
        <f t="shared" si="103"/>
        <v>908</v>
      </c>
      <c r="M957" s="2">
        <f t="shared" si="104"/>
        <v>1684.4957052673424</v>
      </c>
      <c r="N957" s="2">
        <f t="shared" si="105"/>
        <v>3089652.686740316</v>
      </c>
    </row>
    <row r="958" spans="7:14" x14ac:dyDescent="0.25">
      <c r="G958" s="2">
        <v>955</v>
      </c>
      <c r="H958" s="2">
        <f t="shared" si="99"/>
        <v>-414.60824883255759</v>
      </c>
      <c r="I958" s="2">
        <f t="shared" si="100"/>
        <v>414.60824883255759</v>
      </c>
      <c r="J958" s="2">
        <f t="shared" si="101"/>
        <v>1910</v>
      </c>
      <c r="K958" s="11">
        <f t="shared" si="102"/>
        <v>829.21649766511518</v>
      </c>
      <c r="L958" s="2">
        <f t="shared" si="103"/>
        <v>910</v>
      </c>
      <c r="M958" s="2">
        <f t="shared" si="104"/>
        <v>1667.1568296697276</v>
      </c>
      <c r="N958" s="2">
        <f t="shared" si="105"/>
        <v>3091319.8435699856</v>
      </c>
    </row>
    <row r="959" spans="7:14" x14ac:dyDescent="0.25">
      <c r="G959" s="2">
        <v>956</v>
      </c>
      <c r="H959" s="2">
        <f t="shared" si="99"/>
        <v>-410.19019978541661</v>
      </c>
      <c r="I959" s="2">
        <f t="shared" si="100"/>
        <v>410.19019978541661</v>
      </c>
      <c r="J959" s="2">
        <f t="shared" si="101"/>
        <v>1912</v>
      </c>
      <c r="K959" s="11">
        <f t="shared" si="102"/>
        <v>820.38039957083322</v>
      </c>
      <c r="L959" s="2">
        <f t="shared" si="103"/>
        <v>912</v>
      </c>
      <c r="M959" s="2">
        <f t="shared" si="104"/>
        <v>1649.5968972359483</v>
      </c>
      <c r="N959" s="2">
        <f t="shared" si="105"/>
        <v>3092969.4404672217</v>
      </c>
    </row>
    <row r="960" spans="7:14" x14ac:dyDescent="0.25">
      <c r="G960" s="2">
        <v>957</v>
      </c>
      <c r="H960" s="2">
        <f t="shared" si="99"/>
        <v>-405.7141851106515</v>
      </c>
      <c r="I960" s="2">
        <f t="shared" si="100"/>
        <v>405.7141851106515</v>
      </c>
      <c r="J960" s="2">
        <f t="shared" si="101"/>
        <v>1914</v>
      </c>
      <c r="K960" s="11">
        <f t="shared" si="102"/>
        <v>811.428370221303</v>
      </c>
      <c r="L960" s="2">
        <f t="shared" si="103"/>
        <v>914</v>
      </c>
      <c r="M960" s="2">
        <f t="shared" si="104"/>
        <v>1631.8087697921362</v>
      </c>
      <c r="N960" s="2">
        <f t="shared" si="105"/>
        <v>3094601.249237014</v>
      </c>
    </row>
    <row r="961" spans="7:14" x14ac:dyDescent="0.25">
      <c r="G961" s="2">
        <v>958</v>
      </c>
      <c r="H961" s="2">
        <f t="shared" si="99"/>
        <v>-401.17826461561947</v>
      </c>
      <c r="I961" s="2">
        <f t="shared" si="100"/>
        <v>401.17826461561947</v>
      </c>
      <c r="J961" s="2">
        <f t="shared" si="101"/>
        <v>1916</v>
      </c>
      <c r="K961" s="11">
        <f t="shared" si="102"/>
        <v>802.35652923123894</v>
      </c>
      <c r="L961" s="2">
        <f t="shared" si="103"/>
        <v>916</v>
      </c>
      <c r="M961" s="2">
        <f t="shared" si="104"/>
        <v>1613.784899452542</v>
      </c>
      <c r="N961" s="2">
        <f t="shared" si="105"/>
        <v>3096215.0341364667</v>
      </c>
    </row>
    <row r="962" spans="7:14" x14ac:dyDescent="0.25">
      <c r="G962" s="2">
        <v>959</v>
      </c>
      <c r="H962" s="2">
        <f t="shared" si="99"/>
        <v>-396.58038277252194</v>
      </c>
      <c r="I962" s="2">
        <f t="shared" si="100"/>
        <v>396.58038277252194</v>
      </c>
      <c r="J962" s="2">
        <f t="shared" si="101"/>
        <v>1918</v>
      </c>
      <c r="K962" s="11">
        <f t="shared" si="102"/>
        <v>793.16076554504389</v>
      </c>
      <c r="L962" s="2">
        <f t="shared" si="103"/>
        <v>918</v>
      </c>
      <c r="M962" s="2">
        <f t="shared" si="104"/>
        <v>1595.5172947762828</v>
      </c>
      <c r="N962" s="2">
        <f t="shared" si="105"/>
        <v>3097810.5514312428</v>
      </c>
    </row>
    <row r="963" spans="7:14" x14ac:dyDescent="0.25">
      <c r="G963" s="2">
        <v>960</v>
      </c>
      <c r="H963" s="2">
        <f t="shared" ref="H963:H1003" si="106">IF(G963&lt;POC_BOD,-1*$K963/2,IF(G963=POC_BOD,0,NA()))</f>
        <v>-391.91835884530849</v>
      </c>
      <c r="I963" s="2">
        <f t="shared" ref="I963:I1003" si="107">IF(G963&lt;=POC_BOD,$K963/2,IF(G963=POC_BOD,0,NA()))</f>
        <v>391.91835884530849</v>
      </c>
      <c r="J963" s="2">
        <f t="shared" ref="J963:J1003" si="108">IF(G963&lt;=POC_BOD,DN_KRUH/POC_BOD*G963,"")</f>
        <v>1920</v>
      </c>
      <c r="K963" s="11">
        <f t="shared" ref="K963:K1003" si="109">IF(G963&lt;POC_BOD,2*POWER(POWER(R_KRUH,2)-POWER(ABS(J963-DN_KRUH/2),2),0.5),IF(G963=POC_BOD,0,""))</f>
        <v>783.83671769061698</v>
      </c>
      <c r="L963" s="2">
        <f t="shared" ref="L963:L1003" si="110">IF(G963&lt;=POC_BOD,ABS(J963-DN_KRUH/2),IF(G963=POC_BOD,0,""))</f>
        <v>920</v>
      </c>
      <c r="M963" s="2">
        <f t="shared" si="104"/>
        <v>1576.9974832356609</v>
      </c>
      <c r="N963" s="2">
        <f t="shared" si="105"/>
        <v>3099387.5489144786</v>
      </c>
    </row>
    <row r="964" spans="7:14" x14ac:dyDescent="0.25">
      <c r="G964" s="2">
        <v>961</v>
      </c>
      <c r="H964" s="2">
        <f t="shared" si="106"/>
        <v>-387.18987590070071</v>
      </c>
      <c r="I964" s="2">
        <f t="shared" si="107"/>
        <v>387.18987590070071</v>
      </c>
      <c r="J964" s="2">
        <f t="shared" si="108"/>
        <v>1922</v>
      </c>
      <c r="K964" s="11">
        <f t="shared" si="109"/>
        <v>774.37975180140143</v>
      </c>
      <c r="L964" s="2">
        <f t="shared" si="110"/>
        <v>922</v>
      </c>
      <c r="M964" s="2">
        <f t="shared" ref="M964:M1003" si="111">IF(G963&lt;=POC_BOD,(K963+K964)/2*(J964-J963),"")</f>
        <v>1558.2164694920184</v>
      </c>
      <c r="N964" s="2">
        <f t="shared" ref="N964:N1003" si="112">IF(G963&lt;=POC_BOD,((K963+K964)/2*(J964-J963))+N963,"")</f>
        <v>3100945.7653839705</v>
      </c>
    </row>
    <row r="965" spans="7:14" x14ac:dyDescent="0.25">
      <c r="G965" s="2">
        <v>962</v>
      </c>
      <c r="H965" s="2">
        <f t="shared" si="106"/>
        <v>-382.39246854508002</v>
      </c>
      <c r="I965" s="2">
        <f t="shared" si="107"/>
        <v>382.39246854508002</v>
      </c>
      <c r="J965" s="2">
        <f t="shared" si="108"/>
        <v>1924</v>
      </c>
      <c r="K965" s="11">
        <f t="shared" si="109"/>
        <v>764.78493709016004</v>
      </c>
      <c r="L965" s="2">
        <f t="shared" si="110"/>
        <v>924</v>
      </c>
      <c r="M965" s="2">
        <f t="shared" si="111"/>
        <v>1539.1646888915616</v>
      </c>
      <c r="N965" s="2">
        <f t="shared" si="112"/>
        <v>3102484.9300728622</v>
      </c>
    </row>
    <row r="966" spans="7:14" x14ac:dyDescent="0.25">
      <c r="G966" s="2">
        <v>963</v>
      </c>
      <c r="H966" s="2">
        <f t="shared" si="106"/>
        <v>-377.52350920174496</v>
      </c>
      <c r="I966" s="2">
        <f t="shared" si="107"/>
        <v>377.52350920174496</v>
      </c>
      <c r="J966" s="2">
        <f t="shared" si="108"/>
        <v>1926</v>
      </c>
      <c r="K966" s="11">
        <f t="shared" si="109"/>
        <v>755.04701840348991</v>
      </c>
      <c r="L966" s="2">
        <f t="shared" si="110"/>
        <v>926</v>
      </c>
      <c r="M966" s="2">
        <f t="shared" si="111"/>
        <v>1519.83195549365</v>
      </c>
      <c r="N966" s="2">
        <f t="shared" si="112"/>
        <v>3104004.7620283556</v>
      </c>
    </row>
    <row r="967" spans="7:14" x14ac:dyDescent="0.25">
      <c r="G967" s="2">
        <v>964</v>
      </c>
      <c r="H967" s="2">
        <f t="shared" si="106"/>
        <v>-372.58019271024057</v>
      </c>
      <c r="I967" s="2">
        <f t="shared" si="107"/>
        <v>372.58019271024057</v>
      </c>
      <c r="J967" s="2">
        <f t="shared" si="108"/>
        <v>1928</v>
      </c>
      <c r="K967" s="11">
        <f t="shared" si="109"/>
        <v>745.16038542048113</v>
      </c>
      <c r="L967" s="2">
        <f t="shared" si="110"/>
        <v>928</v>
      </c>
      <c r="M967" s="2">
        <f t="shared" si="111"/>
        <v>1500.2074038239712</v>
      </c>
      <c r="N967" s="2">
        <f t="shared" si="112"/>
        <v>3105504.9694321798</v>
      </c>
    </row>
    <row r="968" spans="7:14" x14ac:dyDescent="0.25">
      <c r="G968" s="2">
        <v>965</v>
      </c>
      <c r="H968" s="2">
        <f t="shared" si="106"/>
        <v>-367.55951898978213</v>
      </c>
      <c r="I968" s="2">
        <f t="shared" si="107"/>
        <v>367.55951898978213</v>
      </c>
      <c r="J968" s="2">
        <f t="shared" si="108"/>
        <v>1930</v>
      </c>
      <c r="K968" s="11">
        <f t="shared" si="109"/>
        <v>735.11903797956427</v>
      </c>
      <c r="L968" s="2">
        <f t="shared" si="110"/>
        <v>930</v>
      </c>
      <c r="M968" s="2">
        <f t="shared" si="111"/>
        <v>1480.2794234000453</v>
      </c>
      <c r="N968" s="2">
        <f t="shared" si="112"/>
        <v>3106985.2488555796</v>
      </c>
    </row>
    <row r="969" spans="7:14" x14ac:dyDescent="0.25">
      <c r="G969" s="2">
        <v>966</v>
      </c>
      <c r="H969" s="2">
        <f t="shared" si="106"/>
        <v>-362.45827346054608</v>
      </c>
      <c r="I969" s="2">
        <f t="shared" si="107"/>
        <v>362.45827346054608</v>
      </c>
      <c r="J969" s="2">
        <f t="shared" si="108"/>
        <v>1932</v>
      </c>
      <c r="K969" s="11">
        <f t="shared" si="109"/>
        <v>724.91654692109216</v>
      </c>
      <c r="L969" s="2">
        <f t="shared" si="110"/>
        <v>932</v>
      </c>
      <c r="M969" s="2">
        <f t="shared" si="111"/>
        <v>1460.0355849006564</v>
      </c>
      <c r="N969" s="2">
        <f t="shared" si="112"/>
        <v>3108445.2844404802</v>
      </c>
    </row>
    <row r="970" spans="7:14" x14ac:dyDescent="0.25">
      <c r="G970" s="2">
        <v>967</v>
      </c>
      <c r="H970" s="2">
        <f t="shared" si="106"/>
        <v>-357.27300485762987</v>
      </c>
      <c r="I970" s="2">
        <f t="shared" si="107"/>
        <v>357.27300485762987</v>
      </c>
      <c r="J970" s="2">
        <f t="shared" si="108"/>
        <v>1934</v>
      </c>
      <c r="K970" s="11">
        <f t="shared" si="109"/>
        <v>714.54600971525974</v>
      </c>
      <c r="L970" s="2">
        <f t="shared" si="110"/>
        <v>934</v>
      </c>
      <c r="M970" s="2">
        <f t="shared" si="111"/>
        <v>1439.462556636352</v>
      </c>
      <c r="N970" s="2">
        <f t="shared" si="112"/>
        <v>3109884.7469971166</v>
      </c>
    </row>
    <row r="971" spans="7:14" x14ac:dyDescent="0.25">
      <c r="G971" s="2">
        <v>968</v>
      </c>
      <c r="H971" s="2">
        <f t="shared" si="106"/>
        <v>-352</v>
      </c>
      <c r="I971" s="2">
        <f t="shared" si="107"/>
        <v>352</v>
      </c>
      <c r="J971" s="2">
        <f t="shared" si="108"/>
        <v>1936</v>
      </c>
      <c r="K971" s="11">
        <f t="shared" si="109"/>
        <v>704</v>
      </c>
      <c r="L971" s="2">
        <f t="shared" si="110"/>
        <v>936</v>
      </c>
      <c r="M971" s="2">
        <f t="shared" si="111"/>
        <v>1418.5460097152597</v>
      </c>
      <c r="N971" s="2">
        <f t="shared" si="112"/>
        <v>3111303.2930068318</v>
      </c>
    </row>
    <row r="972" spans="7:14" x14ac:dyDescent="0.25">
      <c r="G972" s="2">
        <v>969</v>
      </c>
      <c r="H972" s="2">
        <f t="shared" si="106"/>
        <v>-346.63525498714063</v>
      </c>
      <c r="I972" s="2">
        <f t="shared" si="107"/>
        <v>346.63525498714063</v>
      </c>
      <c r="J972" s="2">
        <f t="shared" si="108"/>
        <v>1938</v>
      </c>
      <c r="K972" s="11">
        <f t="shared" si="109"/>
        <v>693.27050997428125</v>
      </c>
      <c r="L972" s="2">
        <f t="shared" si="110"/>
        <v>938</v>
      </c>
      <c r="M972" s="2">
        <f t="shared" si="111"/>
        <v>1397.2705099742811</v>
      </c>
      <c r="N972" s="2">
        <f t="shared" si="112"/>
        <v>3112700.5635168059</v>
      </c>
    </row>
    <row r="973" spans="7:14" x14ac:dyDescent="0.25">
      <c r="G973" s="2">
        <v>970</v>
      </c>
      <c r="H973" s="2">
        <f t="shared" si="106"/>
        <v>-341.17444218463959</v>
      </c>
      <c r="I973" s="2">
        <f t="shared" si="107"/>
        <v>341.17444218463959</v>
      </c>
      <c r="J973" s="2">
        <f t="shared" si="108"/>
        <v>1940</v>
      </c>
      <c r="K973" s="11">
        <f t="shared" si="109"/>
        <v>682.34888436927918</v>
      </c>
      <c r="L973" s="2">
        <f t="shared" si="110"/>
        <v>940</v>
      </c>
      <c r="M973" s="2">
        <f t="shared" si="111"/>
        <v>1375.6193943435605</v>
      </c>
      <c r="N973" s="2">
        <f t="shared" si="112"/>
        <v>3114076.1829111492</v>
      </c>
    </row>
    <row r="974" spans="7:14" x14ac:dyDescent="0.25">
      <c r="G974" s="2">
        <v>971</v>
      </c>
      <c r="H974" s="2">
        <f t="shared" si="106"/>
        <v>-335.61287222036049</v>
      </c>
      <c r="I974" s="2">
        <f t="shared" si="107"/>
        <v>335.61287222036049</v>
      </c>
      <c r="J974" s="2">
        <f t="shared" si="108"/>
        <v>1942</v>
      </c>
      <c r="K974" s="11">
        <f t="shared" si="109"/>
        <v>671.22574444072097</v>
      </c>
      <c r="L974" s="2">
        <f t="shared" si="110"/>
        <v>942</v>
      </c>
      <c r="M974" s="2">
        <f t="shared" si="111"/>
        <v>1353.5746288100001</v>
      </c>
      <c r="N974" s="2">
        <f t="shared" si="112"/>
        <v>3115429.7575399592</v>
      </c>
    </row>
    <row r="975" spans="7:14" x14ac:dyDescent="0.25">
      <c r="G975" s="2">
        <v>972</v>
      </c>
      <c r="H975" s="2">
        <f t="shared" si="106"/>
        <v>-329.94545003682049</v>
      </c>
      <c r="I975" s="2">
        <f t="shared" si="107"/>
        <v>329.94545003682049</v>
      </c>
      <c r="J975" s="2">
        <f t="shared" si="108"/>
        <v>1944</v>
      </c>
      <c r="K975" s="11">
        <f t="shared" si="109"/>
        <v>659.89090007364098</v>
      </c>
      <c r="L975" s="2">
        <f t="shared" si="110"/>
        <v>944</v>
      </c>
      <c r="M975" s="2">
        <f t="shared" si="111"/>
        <v>1331.116644514362</v>
      </c>
      <c r="N975" s="2">
        <f t="shared" si="112"/>
        <v>3116760.8741844734</v>
      </c>
    </row>
    <row r="976" spans="7:14" x14ac:dyDescent="0.25">
      <c r="G976" s="2">
        <v>973</v>
      </c>
      <c r="H976" s="2">
        <f t="shared" si="106"/>
        <v>-324.16662382176236</v>
      </c>
      <c r="I976" s="2">
        <f t="shared" si="107"/>
        <v>324.16662382176236</v>
      </c>
      <c r="J976" s="2">
        <f t="shared" si="108"/>
        <v>1946</v>
      </c>
      <c r="K976" s="11">
        <f t="shared" si="109"/>
        <v>648.33324764352471</v>
      </c>
      <c r="L976" s="2">
        <f t="shared" si="110"/>
        <v>946</v>
      </c>
      <c r="M976" s="2">
        <f t="shared" si="111"/>
        <v>1308.2241477171656</v>
      </c>
      <c r="N976" s="2">
        <f t="shared" si="112"/>
        <v>3118069.0983321904</v>
      </c>
    </row>
    <row r="977" spans="7:14" x14ac:dyDescent="0.25">
      <c r="G977" s="2">
        <v>974</v>
      </c>
      <c r="H977" s="2">
        <f t="shared" si="106"/>
        <v>-318.2703253525217</v>
      </c>
      <c r="I977" s="2">
        <f t="shared" si="107"/>
        <v>318.2703253525217</v>
      </c>
      <c r="J977" s="2">
        <f t="shared" si="108"/>
        <v>1948</v>
      </c>
      <c r="K977" s="11">
        <f t="shared" si="109"/>
        <v>636.54065070504339</v>
      </c>
      <c r="L977" s="2">
        <f t="shared" si="110"/>
        <v>948</v>
      </c>
      <c r="M977" s="2">
        <f t="shared" si="111"/>
        <v>1284.8738983485682</v>
      </c>
      <c r="N977" s="2">
        <f t="shared" si="112"/>
        <v>3119353.9722305392</v>
      </c>
    </row>
    <row r="978" spans="7:14" x14ac:dyDescent="0.25">
      <c r="G978" s="2">
        <v>975</v>
      </c>
      <c r="H978" s="2">
        <f t="shared" si="106"/>
        <v>-312.24989991991993</v>
      </c>
      <c r="I978" s="2">
        <f t="shared" si="107"/>
        <v>312.24989991991993</v>
      </c>
      <c r="J978" s="2">
        <f t="shared" si="108"/>
        <v>1950</v>
      </c>
      <c r="K978" s="11">
        <f t="shared" si="109"/>
        <v>624.49979983983985</v>
      </c>
      <c r="L978" s="2">
        <f t="shared" si="110"/>
        <v>950</v>
      </c>
      <c r="M978" s="2">
        <f t="shared" si="111"/>
        <v>1261.0404505448832</v>
      </c>
      <c r="N978" s="2">
        <f t="shared" si="112"/>
        <v>3120615.0126810842</v>
      </c>
    </row>
    <row r="979" spans="7:14" x14ac:dyDescent="0.25">
      <c r="G979" s="2">
        <v>976</v>
      </c>
      <c r="H979" s="2">
        <f t="shared" si="106"/>
        <v>-306.09802351534387</v>
      </c>
      <c r="I979" s="2">
        <f t="shared" si="107"/>
        <v>306.09802351534387</v>
      </c>
      <c r="J979" s="2">
        <f t="shared" si="108"/>
        <v>1952</v>
      </c>
      <c r="K979" s="11">
        <f t="shared" si="109"/>
        <v>612.19604703068774</v>
      </c>
      <c r="L979" s="2">
        <f t="shared" si="110"/>
        <v>952</v>
      </c>
      <c r="M979" s="2">
        <f t="shared" si="111"/>
        <v>1236.6958468705275</v>
      </c>
      <c r="N979" s="2">
        <f t="shared" si="112"/>
        <v>3121851.7085279548</v>
      </c>
    </row>
    <row r="980" spans="7:14" x14ac:dyDescent="0.25">
      <c r="G980" s="2">
        <v>977</v>
      </c>
      <c r="H980" s="2">
        <f t="shared" si="106"/>
        <v>-299.80660433019148</v>
      </c>
      <c r="I980" s="2">
        <f t="shared" si="107"/>
        <v>299.80660433019148</v>
      </c>
      <c r="J980" s="2">
        <f t="shared" si="108"/>
        <v>1954</v>
      </c>
      <c r="K980" s="11">
        <f t="shared" si="109"/>
        <v>599.61320866038295</v>
      </c>
      <c r="L980" s="2">
        <f t="shared" si="110"/>
        <v>954</v>
      </c>
      <c r="M980" s="2">
        <f t="shared" si="111"/>
        <v>1211.8092556910706</v>
      </c>
      <c r="N980" s="2">
        <f t="shared" si="112"/>
        <v>3123063.517783646</v>
      </c>
    </row>
    <row r="981" spans="7:14" x14ac:dyDescent="0.25">
      <c r="G981" s="2">
        <v>978</v>
      </c>
      <c r="H981" s="2">
        <f t="shared" si="106"/>
        <v>-293.36666477294244</v>
      </c>
      <c r="I981" s="2">
        <f t="shared" si="107"/>
        <v>293.36666477294244</v>
      </c>
      <c r="J981" s="2">
        <f t="shared" si="108"/>
        <v>1956</v>
      </c>
      <c r="K981" s="11">
        <f t="shared" si="109"/>
        <v>586.73332954588489</v>
      </c>
      <c r="L981" s="2">
        <f t="shared" si="110"/>
        <v>956</v>
      </c>
      <c r="M981" s="2">
        <f t="shared" si="111"/>
        <v>1186.3465382062677</v>
      </c>
      <c r="N981" s="2">
        <f t="shared" si="112"/>
        <v>3124249.8643218521</v>
      </c>
    </row>
    <row r="982" spans="7:14" x14ac:dyDescent="0.25">
      <c r="G982" s="2">
        <v>979</v>
      </c>
      <c r="H982" s="2">
        <f t="shared" si="106"/>
        <v>-286.76819907374664</v>
      </c>
      <c r="I982" s="2">
        <f t="shared" si="107"/>
        <v>286.76819907374664</v>
      </c>
      <c r="J982" s="2">
        <f t="shared" si="108"/>
        <v>1958</v>
      </c>
      <c r="K982" s="11">
        <f t="shared" si="109"/>
        <v>573.53639814749329</v>
      </c>
      <c r="L982" s="2">
        <f t="shared" si="110"/>
        <v>958</v>
      </c>
      <c r="M982" s="2">
        <f t="shared" si="111"/>
        <v>1160.2697276933782</v>
      </c>
      <c r="N982" s="2">
        <f t="shared" si="112"/>
        <v>3125410.1340495455</v>
      </c>
    </row>
    <row r="983" spans="7:14" x14ac:dyDescent="0.25">
      <c r="G983" s="2">
        <v>980</v>
      </c>
      <c r="H983" s="2">
        <f t="shared" si="106"/>
        <v>-280</v>
      </c>
      <c r="I983" s="2">
        <f t="shared" si="107"/>
        <v>280</v>
      </c>
      <c r="J983" s="2">
        <f t="shared" si="108"/>
        <v>1960</v>
      </c>
      <c r="K983" s="11">
        <f t="shared" si="109"/>
        <v>560</v>
      </c>
      <c r="L983" s="2">
        <f t="shared" si="110"/>
        <v>960</v>
      </c>
      <c r="M983" s="2">
        <f t="shared" si="111"/>
        <v>1133.5363981474934</v>
      </c>
      <c r="N983" s="2">
        <f t="shared" si="112"/>
        <v>3126543.6704476932</v>
      </c>
    </row>
    <row r="984" spans="7:14" x14ac:dyDescent="0.25">
      <c r="G984" s="2">
        <v>981</v>
      </c>
      <c r="H984" s="2">
        <f t="shared" si="106"/>
        <v>-273.04944607158609</v>
      </c>
      <c r="I984" s="2">
        <f t="shared" si="107"/>
        <v>273.04944607158609</v>
      </c>
      <c r="J984" s="2">
        <f t="shared" si="108"/>
        <v>1962</v>
      </c>
      <c r="K984" s="11">
        <f t="shared" si="109"/>
        <v>546.09889214317218</v>
      </c>
      <c r="L984" s="2">
        <f t="shared" si="110"/>
        <v>962</v>
      </c>
      <c r="M984" s="2">
        <f t="shared" si="111"/>
        <v>1106.0988921431722</v>
      </c>
      <c r="N984" s="2">
        <f t="shared" si="112"/>
        <v>3127649.7693398362</v>
      </c>
    </row>
    <row r="985" spans="7:14" x14ac:dyDescent="0.25">
      <c r="G985" s="2">
        <v>982</v>
      </c>
      <c r="H985" s="2">
        <f t="shared" si="106"/>
        <v>-265.90223767392405</v>
      </c>
      <c r="I985" s="2">
        <f t="shared" si="107"/>
        <v>265.90223767392405</v>
      </c>
      <c r="J985" s="2">
        <f t="shared" si="108"/>
        <v>1964</v>
      </c>
      <c r="K985" s="11">
        <f t="shared" si="109"/>
        <v>531.8044753478481</v>
      </c>
      <c r="L985" s="2">
        <f t="shared" si="110"/>
        <v>964</v>
      </c>
      <c r="M985" s="2">
        <f t="shared" si="111"/>
        <v>1077.9033674910202</v>
      </c>
      <c r="N985" s="2">
        <f t="shared" si="112"/>
        <v>3128727.6727073272</v>
      </c>
    </row>
    <row r="986" spans="7:14" x14ac:dyDescent="0.25">
      <c r="G986" s="2">
        <v>983</v>
      </c>
      <c r="H986" s="2">
        <f t="shared" si="106"/>
        <v>-258.54206620973696</v>
      </c>
      <c r="I986" s="2">
        <f t="shared" si="107"/>
        <v>258.54206620973696</v>
      </c>
      <c r="J986" s="2">
        <f t="shared" si="108"/>
        <v>1966</v>
      </c>
      <c r="K986" s="11">
        <f t="shared" si="109"/>
        <v>517.08413241947392</v>
      </c>
      <c r="L986" s="2">
        <f t="shared" si="110"/>
        <v>966</v>
      </c>
      <c r="M986" s="2">
        <f t="shared" si="111"/>
        <v>1048.8886077673219</v>
      </c>
      <c r="N986" s="2">
        <f t="shared" si="112"/>
        <v>3129776.5613150946</v>
      </c>
    </row>
    <row r="987" spans="7:14" x14ac:dyDescent="0.25">
      <c r="G987" s="2">
        <v>984</v>
      </c>
      <c r="H987" s="2">
        <f t="shared" si="106"/>
        <v>-250.95019426172996</v>
      </c>
      <c r="I987" s="2">
        <f t="shared" si="107"/>
        <v>250.95019426172996</v>
      </c>
      <c r="J987" s="2">
        <f t="shared" si="108"/>
        <v>1968</v>
      </c>
      <c r="K987" s="11">
        <f t="shared" si="109"/>
        <v>501.90038852345992</v>
      </c>
      <c r="L987" s="2">
        <f t="shared" si="110"/>
        <v>968</v>
      </c>
      <c r="M987" s="2">
        <f t="shared" si="111"/>
        <v>1018.9845209429338</v>
      </c>
      <c r="N987" s="2">
        <f t="shared" si="112"/>
        <v>3130795.5458360375</v>
      </c>
    </row>
    <row r="988" spans="7:14" x14ac:dyDescent="0.25">
      <c r="G988" s="2">
        <v>985</v>
      </c>
      <c r="H988" s="2">
        <f t="shared" si="106"/>
        <v>-243.10491562286435</v>
      </c>
      <c r="I988" s="2">
        <f t="shared" si="107"/>
        <v>243.10491562286435</v>
      </c>
      <c r="J988" s="2">
        <f t="shared" si="108"/>
        <v>1970</v>
      </c>
      <c r="K988" s="11">
        <f t="shared" si="109"/>
        <v>486.20983124572871</v>
      </c>
      <c r="L988" s="2">
        <f t="shared" si="110"/>
        <v>970</v>
      </c>
      <c r="M988" s="2">
        <f t="shared" si="111"/>
        <v>988.11021976918869</v>
      </c>
      <c r="N988" s="2">
        <f t="shared" si="112"/>
        <v>3131783.6560558067</v>
      </c>
    </row>
    <row r="989" spans="7:14" x14ac:dyDescent="0.25">
      <c r="G989" s="2">
        <v>986</v>
      </c>
      <c r="H989" s="2">
        <f t="shared" si="106"/>
        <v>-234.98085028359225</v>
      </c>
      <c r="I989" s="2">
        <f t="shared" si="107"/>
        <v>234.98085028359225</v>
      </c>
      <c r="J989" s="2">
        <f t="shared" si="108"/>
        <v>1972</v>
      </c>
      <c r="K989" s="11">
        <f t="shared" si="109"/>
        <v>469.96170056718449</v>
      </c>
      <c r="L989" s="2">
        <f t="shared" si="110"/>
        <v>972</v>
      </c>
      <c r="M989" s="2">
        <f t="shared" si="111"/>
        <v>956.17153181291314</v>
      </c>
      <c r="N989" s="2">
        <f t="shared" si="112"/>
        <v>3132739.8275876194</v>
      </c>
    </row>
    <row r="990" spans="7:14" x14ac:dyDescent="0.25">
      <c r="G990" s="2">
        <v>987</v>
      </c>
      <c r="H990" s="2">
        <f t="shared" si="106"/>
        <v>-226.54800815721157</v>
      </c>
      <c r="I990" s="2">
        <f t="shared" si="107"/>
        <v>226.54800815721157</v>
      </c>
      <c r="J990" s="2">
        <f t="shared" si="108"/>
        <v>1974</v>
      </c>
      <c r="K990" s="11">
        <f t="shared" si="109"/>
        <v>453.09601631442314</v>
      </c>
      <c r="L990" s="2">
        <f t="shared" si="110"/>
        <v>974</v>
      </c>
      <c r="M990" s="2">
        <f t="shared" si="111"/>
        <v>923.05771688160758</v>
      </c>
      <c r="N990" s="2">
        <f t="shared" si="112"/>
        <v>3133662.8853045008</v>
      </c>
    </row>
    <row r="991" spans="7:14" x14ac:dyDescent="0.25">
      <c r="G991" s="2">
        <v>988</v>
      </c>
      <c r="H991" s="2">
        <f t="shared" si="106"/>
        <v>-217.77052142105919</v>
      </c>
      <c r="I991" s="2">
        <f t="shared" si="107"/>
        <v>217.77052142105919</v>
      </c>
      <c r="J991" s="2">
        <f t="shared" si="108"/>
        <v>1976</v>
      </c>
      <c r="K991" s="11">
        <f t="shared" si="109"/>
        <v>435.54104284211837</v>
      </c>
      <c r="L991" s="2">
        <f t="shared" si="110"/>
        <v>976</v>
      </c>
      <c r="M991" s="2">
        <f t="shared" si="111"/>
        <v>888.63705915654145</v>
      </c>
      <c r="N991" s="2">
        <f t="shared" si="112"/>
        <v>3134551.5223636571</v>
      </c>
    </row>
    <row r="992" spans="7:14" x14ac:dyDescent="0.25">
      <c r="G992" s="2">
        <v>989</v>
      </c>
      <c r="H992" s="2">
        <f t="shared" si="106"/>
        <v>-208.60488968382307</v>
      </c>
      <c r="I992" s="2">
        <f t="shared" si="107"/>
        <v>208.60488968382307</v>
      </c>
      <c r="J992" s="2">
        <f t="shared" si="108"/>
        <v>1978</v>
      </c>
      <c r="K992" s="11">
        <f t="shared" si="109"/>
        <v>417.20977936764615</v>
      </c>
      <c r="L992" s="2">
        <f t="shared" si="110"/>
        <v>978</v>
      </c>
      <c r="M992" s="2">
        <f t="shared" si="111"/>
        <v>852.75082220976446</v>
      </c>
      <c r="N992" s="2">
        <f t="shared" si="112"/>
        <v>3135404.2731858669</v>
      </c>
    </row>
    <row r="993" spans="7:14" x14ac:dyDescent="0.25">
      <c r="G993" s="2">
        <v>990</v>
      </c>
      <c r="H993" s="2">
        <f t="shared" si="106"/>
        <v>-198.997487421324</v>
      </c>
      <c r="I993" s="2">
        <f t="shared" si="107"/>
        <v>198.997487421324</v>
      </c>
      <c r="J993" s="2">
        <f t="shared" si="108"/>
        <v>1980</v>
      </c>
      <c r="K993" s="11">
        <f t="shared" si="109"/>
        <v>397.99497484264799</v>
      </c>
      <c r="L993" s="2">
        <f t="shared" si="110"/>
        <v>980</v>
      </c>
      <c r="M993" s="2">
        <f t="shared" si="111"/>
        <v>815.20475421029414</v>
      </c>
      <c r="N993" s="2">
        <f t="shared" si="112"/>
        <v>3136219.477940077</v>
      </c>
    </row>
    <row r="994" spans="7:14" x14ac:dyDescent="0.25">
      <c r="G994" s="2">
        <v>991</v>
      </c>
      <c r="H994" s="2">
        <f t="shared" si="106"/>
        <v>-188.88091486436633</v>
      </c>
      <c r="I994" s="2">
        <f t="shared" si="107"/>
        <v>188.88091486436633</v>
      </c>
      <c r="J994" s="2">
        <f t="shared" si="108"/>
        <v>1982</v>
      </c>
      <c r="K994" s="11">
        <f t="shared" si="109"/>
        <v>377.76182972873266</v>
      </c>
      <c r="L994" s="2">
        <f t="shared" si="110"/>
        <v>982</v>
      </c>
      <c r="M994" s="2">
        <f t="shared" si="111"/>
        <v>775.7568045713806</v>
      </c>
      <c r="N994" s="2">
        <f t="shared" si="112"/>
        <v>3136995.2347446484</v>
      </c>
    </row>
    <row r="995" spans="7:14" x14ac:dyDescent="0.25">
      <c r="G995" s="2">
        <v>992</v>
      </c>
      <c r="H995" s="2">
        <f t="shared" si="106"/>
        <v>-178.16845961056069</v>
      </c>
      <c r="I995" s="2">
        <f t="shared" si="107"/>
        <v>178.16845961056069</v>
      </c>
      <c r="J995" s="2">
        <f t="shared" si="108"/>
        <v>1984</v>
      </c>
      <c r="K995" s="11">
        <f t="shared" si="109"/>
        <v>356.33691922112138</v>
      </c>
      <c r="L995" s="2">
        <f t="shared" si="110"/>
        <v>984</v>
      </c>
      <c r="M995" s="2">
        <f t="shared" si="111"/>
        <v>734.0987489498541</v>
      </c>
      <c r="N995" s="2">
        <f t="shared" si="112"/>
        <v>3137729.3334935983</v>
      </c>
    </row>
    <row r="996" spans="7:14" x14ac:dyDescent="0.25">
      <c r="G996" s="2">
        <v>993</v>
      </c>
      <c r="H996" s="2">
        <f t="shared" si="106"/>
        <v>-166.74531477675768</v>
      </c>
      <c r="I996" s="2">
        <f t="shared" si="107"/>
        <v>166.74531477675768</v>
      </c>
      <c r="J996" s="2">
        <f t="shared" si="108"/>
        <v>1986</v>
      </c>
      <c r="K996" s="11">
        <f t="shared" si="109"/>
        <v>333.49062955351536</v>
      </c>
      <c r="L996" s="2">
        <f t="shared" si="110"/>
        <v>986</v>
      </c>
      <c r="M996" s="2">
        <f t="shared" si="111"/>
        <v>689.82754877463674</v>
      </c>
      <c r="N996" s="2">
        <f t="shared" si="112"/>
        <v>3138419.1610423727</v>
      </c>
    </row>
    <row r="997" spans="7:14" x14ac:dyDescent="0.25">
      <c r="G997" s="2">
        <v>994</v>
      </c>
      <c r="H997" s="2">
        <f t="shared" si="106"/>
        <v>-154.45387661046257</v>
      </c>
      <c r="I997" s="2">
        <f t="shared" si="107"/>
        <v>154.45387661046257</v>
      </c>
      <c r="J997" s="2">
        <f t="shared" si="108"/>
        <v>1988</v>
      </c>
      <c r="K997" s="11">
        <f t="shared" si="109"/>
        <v>308.90775322092514</v>
      </c>
      <c r="L997" s="2">
        <f t="shared" si="110"/>
        <v>988</v>
      </c>
      <c r="M997" s="2">
        <f t="shared" si="111"/>
        <v>642.39838277444051</v>
      </c>
      <c r="N997" s="2">
        <f t="shared" si="112"/>
        <v>3139061.5594251473</v>
      </c>
    </row>
    <row r="998" spans="7:14" x14ac:dyDescent="0.25">
      <c r="G998" s="2">
        <v>995</v>
      </c>
      <c r="H998" s="2">
        <f t="shared" si="106"/>
        <v>-141.06735979665885</v>
      </c>
      <c r="I998" s="2">
        <f t="shared" si="107"/>
        <v>141.06735979665885</v>
      </c>
      <c r="J998" s="2">
        <f t="shared" si="108"/>
        <v>1990</v>
      </c>
      <c r="K998" s="11">
        <f t="shared" si="109"/>
        <v>282.1347195933177</v>
      </c>
      <c r="L998" s="2">
        <f t="shared" si="110"/>
        <v>990</v>
      </c>
      <c r="M998" s="2">
        <f t="shared" si="111"/>
        <v>591.04247281424284</v>
      </c>
      <c r="N998" s="2">
        <f t="shared" si="112"/>
        <v>3139652.6018979615</v>
      </c>
    </row>
    <row r="999" spans="7:14" x14ac:dyDescent="0.25">
      <c r="G999" s="2">
        <v>996</v>
      </c>
      <c r="H999" s="2">
        <f t="shared" si="106"/>
        <v>-126.23787070447599</v>
      </c>
      <c r="I999" s="2">
        <f t="shared" si="107"/>
        <v>126.23787070447599</v>
      </c>
      <c r="J999" s="2">
        <f t="shared" si="108"/>
        <v>1992</v>
      </c>
      <c r="K999" s="11">
        <f t="shared" si="109"/>
        <v>252.47574140895199</v>
      </c>
      <c r="L999" s="2">
        <f t="shared" si="110"/>
        <v>992</v>
      </c>
      <c r="M999" s="2">
        <f t="shared" si="111"/>
        <v>534.61046100226963</v>
      </c>
      <c r="N999" s="2">
        <f t="shared" si="112"/>
        <v>3140187.2123589637</v>
      </c>
    </row>
    <row r="1000" spans="7:14" x14ac:dyDescent="0.25">
      <c r="G1000" s="2">
        <v>997</v>
      </c>
      <c r="H1000" s="2">
        <f t="shared" si="106"/>
        <v>-109.38007131100254</v>
      </c>
      <c r="I1000" s="2">
        <f t="shared" si="107"/>
        <v>109.38007131100254</v>
      </c>
      <c r="J1000" s="2">
        <f t="shared" si="108"/>
        <v>1994</v>
      </c>
      <c r="K1000" s="11">
        <f t="shared" si="109"/>
        <v>218.76014262200508</v>
      </c>
      <c r="L1000" s="2">
        <f t="shared" si="110"/>
        <v>994</v>
      </c>
      <c r="M1000" s="2">
        <f t="shared" si="111"/>
        <v>471.2358840309571</v>
      </c>
      <c r="N1000" s="2">
        <f t="shared" si="112"/>
        <v>3140658.4482429945</v>
      </c>
    </row>
    <row r="1001" spans="7:14" x14ac:dyDescent="0.25">
      <c r="G1001" s="2">
        <v>998</v>
      </c>
      <c r="H1001" s="2">
        <f t="shared" si="106"/>
        <v>-89.353231614754705</v>
      </c>
      <c r="I1001" s="2">
        <f t="shared" si="107"/>
        <v>89.353231614754705</v>
      </c>
      <c r="J1001" s="2">
        <f t="shared" si="108"/>
        <v>1996</v>
      </c>
      <c r="K1001" s="11">
        <f t="shared" si="109"/>
        <v>178.70646322950941</v>
      </c>
      <c r="L1001" s="2">
        <f t="shared" si="110"/>
        <v>996</v>
      </c>
      <c r="M1001" s="2">
        <f t="shared" si="111"/>
        <v>397.46660585151449</v>
      </c>
      <c r="N1001" s="2">
        <f t="shared" si="112"/>
        <v>3141055.9148488459</v>
      </c>
    </row>
    <row r="1002" spans="7:14" x14ac:dyDescent="0.25">
      <c r="G1002" s="2">
        <v>999</v>
      </c>
      <c r="H1002" s="2">
        <f t="shared" si="106"/>
        <v>-63.21392251711643</v>
      </c>
      <c r="I1002" s="2">
        <f t="shared" si="107"/>
        <v>63.21392251711643</v>
      </c>
      <c r="J1002" s="2">
        <f t="shared" si="108"/>
        <v>1998</v>
      </c>
      <c r="K1002" s="11">
        <f t="shared" si="109"/>
        <v>126.42784503423286</v>
      </c>
      <c r="L1002" s="2">
        <f t="shared" si="110"/>
        <v>998</v>
      </c>
      <c r="M1002" s="2">
        <f t="shared" si="111"/>
        <v>305.13430826374224</v>
      </c>
      <c r="N1002" s="2">
        <f t="shared" si="112"/>
        <v>3141361.0491571096</v>
      </c>
    </row>
    <row r="1003" spans="7:14" x14ac:dyDescent="0.25">
      <c r="G1003" s="2">
        <v>1000</v>
      </c>
      <c r="H1003" s="2">
        <f t="shared" si="106"/>
        <v>0</v>
      </c>
      <c r="I1003" s="2">
        <f t="shared" si="107"/>
        <v>0</v>
      </c>
      <c r="J1003" s="2">
        <f t="shared" si="108"/>
        <v>2000</v>
      </c>
      <c r="K1003" s="11">
        <f t="shared" si="109"/>
        <v>0</v>
      </c>
      <c r="L1003" s="2">
        <f t="shared" si="110"/>
        <v>1000</v>
      </c>
      <c r="M1003" s="2">
        <f t="shared" si="111"/>
        <v>126.42784503423286</v>
      </c>
      <c r="N1003" s="2">
        <f t="shared" si="112"/>
        <v>3141487.4770021439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Nahod_profil">
                <anchor moveWithCells="1" sizeWithCells="1">
                  <from>
                    <xdr:col>1</xdr:col>
                    <xdr:colOff>333375</xdr:colOff>
                    <xdr:row>5</xdr:row>
                    <xdr:rowOff>85725</xdr:rowOff>
                  </from>
                  <to>
                    <xdr:col>4</xdr:col>
                    <xdr:colOff>266700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003"/>
  <sheetViews>
    <sheetView workbookViewId="0"/>
  </sheetViews>
  <sheetFormatPr defaultRowHeight="15" x14ac:dyDescent="0.25"/>
  <cols>
    <col min="1" max="1" width="7.42578125" customWidth="1"/>
    <col min="2" max="3" width="9.140625" style="1"/>
    <col min="4" max="4" width="6.140625" customWidth="1"/>
    <col min="5" max="5" width="5.28515625" customWidth="1"/>
    <col min="6" max="6" width="12.140625" style="7" bestFit="1" customWidth="1"/>
    <col min="7" max="8" width="9.140625" style="2"/>
    <col min="9" max="9" width="14.7109375" style="2" customWidth="1"/>
    <col min="10" max="10" width="12.28515625" style="2" customWidth="1"/>
    <col min="11" max="11" width="6" style="2" customWidth="1"/>
    <col min="12" max="12" width="6.42578125" style="2" customWidth="1"/>
  </cols>
  <sheetData>
    <row r="1" spans="1:28" s="3" customFormat="1" x14ac:dyDescent="0.25">
      <c r="A1" s="14" t="str">
        <f>"Průtočná plocha profilu je "&amp;ROUND(MAX(F:F),0)&amp;" mm2
v hladině h = "&amp;H1&amp;" mm je průtočná plocha profilu "&amp;ROUND(LOOKUP(H1,B:B,F:F),0)&amp;" mm2"</f>
        <v>Průtočná plocha profilu je 3141487 mm2
v hladině h = 110 mm je průtočná plocha profilu 67595 mm2</v>
      </c>
      <c r="B1" s="4" t="s">
        <v>3</v>
      </c>
      <c r="C1" s="4" t="s">
        <v>8</v>
      </c>
      <c r="D1" s="3" t="s">
        <v>9</v>
      </c>
      <c r="F1" s="6" t="s">
        <v>10</v>
      </c>
      <c r="G1" s="8" t="s">
        <v>42</v>
      </c>
      <c r="H1" s="8">
        <v>110</v>
      </c>
      <c r="I1" s="5"/>
      <c r="J1" s="16" t="s">
        <v>40</v>
      </c>
      <c r="K1" s="17"/>
      <c r="L1" s="17"/>
      <c r="AA1" s="13" t="s">
        <v>34</v>
      </c>
      <c r="AB1" s="2"/>
    </row>
    <row r="2" spans="1:28" x14ac:dyDescent="0.25">
      <c r="A2" t="s">
        <v>0</v>
      </c>
      <c r="B2" s="1" t="s">
        <v>4</v>
      </c>
      <c r="C2" s="1" t="s">
        <v>5</v>
      </c>
      <c r="D2" t="s">
        <v>1</v>
      </c>
      <c r="E2" t="s">
        <v>2</v>
      </c>
      <c r="F2" s="7" t="s">
        <v>6</v>
      </c>
      <c r="G2" s="2" t="s">
        <v>7</v>
      </c>
      <c r="H2" s="2" t="s">
        <v>18</v>
      </c>
      <c r="I2" s="2" t="s">
        <v>49</v>
      </c>
      <c r="J2" s="2" t="s">
        <v>41</v>
      </c>
      <c r="K2" s="2" t="s">
        <v>45</v>
      </c>
      <c r="L2" s="2" t="s">
        <v>46</v>
      </c>
      <c r="Z2" t="s">
        <v>48</v>
      </c>
      <c r="AA2" s="2" t="s">
        <v>32</v>
      </c>
      <c r="AB2" s="2" t="s">
        <v>13</v>
      </c>
    </row>
    <row r="3" spans="1:28" x14ac:dyDescent="0.25">
      <c r="A3">
        <v>1</v>
      </c>
      <c r="B3" s="1">
        <v>0</v>
      </c>
      <c r="C3" s="1">
        <v>0</v>
      </c>
      <c r="D3">
        <f>IF(A3&lt;=COUNT(B:B),-1*C3/2,NA())</f>
        <v>0</v>
      </c>
      <c r="E3">
        <f>IF(A3&lt;=COUNT(B:B),C3/2,NA())</f>
        <v>0</v>
      </c>
      <c r="F3" s="7">
        <f>IF(A3&lt;COUNT(B:B),($C3+$C3)*(B3-B3)/2,"")</f>
        <v>0</v>
      </c>
      <c r="G3" s="2">
        <f>B3-$B$3</f>
        <v>0</v>
      </c>
      <c r="J3" s="2">
        <v>0</v>
      </c>
      <c r="K3" s="2">
        <f>IF(A3&lt;=COUNT(B:B),$J3/2*-1,NA())</f>
        <v>0</v>
      </c>
      <c r="L3" s="2">
        <f>IF(A3&lt;=COUNT(B:B),$J3/2,NA())</f>
        <v>0</v>
      </c>
      <c r="Z3">
        <f>MAX(J:J)/2*-1</f>
        <v>-1000</v>
      </c>
      <c r="AA3" s="2">
        <f>LOOKUP($H$1,B:B,C:C/2*-1)</f>
        <v>-455.96052460711991</v>
      </c>
      <c r="AB3" s="7">
        <f>$H$1</f>
        <v>110</v>
      </c>
    </row>
    <row r="4" spans="1:28" x14ac:dyDescent="0.25">
      <c r="A4">
        <v>2</v>
      </c>
      <c r="B4" s="1">
        <v>2</v>
      </c>
      <c r="C4" s="1">
        <v>126.42784503423286</v>
      </c>
      <c r="D4">
        <f t="shared" ref="D4:D67" si="0">IF(A4&lt;=COUNT(B:B),-1*C4/2,NA())</f>
        <v>-63.21392251711643</v>
      </c>
      <c r="E4">
        <f t="shared" ref="E4:E67" si="1">IF(A4&lt;=COUNT(B:B),C4/2,NA())</f>
        <v>63.21392251711643</v>
      </c>
      <c r="F4" s="7">
        <f>IF(A3&lt;COUNT(B:B),(($C4+$C3)*(B4-B3)/2)+F3,"")</f>
        <v>126.42784503423286</v>
      </c>
      <c r="G4" s="2">
        <f t="shared" ref="G4:G67" si="2">B4-$B$3</f>
        <v>2</v>
      </c>
      <c r="J4" s="2">
        <v>126.42784503423286</v>
      </c>
      <c r="K4" s="2">
        <f t="shared" ref="K4:K67" si="3">IF(A4&lt;=COUNT(B:B),$J4/2*-1,NA())</f>
        <v>-63.21392251711643</v>
      </c>
      <c r="L4" s="2">
        <f t="shared" ref="L4:L67" si="4">IF(A4&lt;=COUNT(B:B),$J4/2,NA())</f>
        <v>63.21392251711643</v>
      </c>
      <c r="AA4" s="2">
        <v>0</v>
      </c>
      <c r="AB4" s="7">
        <f t="shared" ref="AB4:AB5" si="5">$H$1</f>
        <v>110</v>
      </c>
    </row>
    <row r="5" spans="1:28" x14ac:dyDescent="0.25">
      <c r="A5">
        <v>3</v>
      </c>
      <c r="B5" s="1">
        <v>4</v>
      </c>
      <c r="C5" s="1">
        <v>178.70646322950941</v>
      </c>
      <c r="D5">
        <f t="shared" si="0"/>
        <v>-89.353231614754705</v>
      </c>
      <c r="E5">
        <f t="shared" si="1"/>
        <v>89.353231614754705</v>
      </c>
      <c r="F5" s="7">
        <f t="shared" ref="F5:F68" si="6">IF(A4&lt;COUNT(B:B),(($C5+$C4)*(B5-B4)/2)+F4,"")</f>
        <v>431.5621532979751</v>
      </c>
      <c r="G5" s="2">
        <f t="shared" si="2"/>
        <v>4</v>
      </c>
      <c r="J5" s="2">
        <v>178.70646322950941</v>
      </c>
      <c r="K5" s="2">
        <f t="shared" si="3"/>
        <v>-89.353231614754705</v>
      </c>
      <c r="L5" s="2">
        <f t="shared" si="4"/>
        <v>89.353231614754705</v>
      </c>
      <c r="Z5">
        <f>MAX(J:J)/2</f>
        <v>1000</v>
      </c>
      <c r="AA5" s="2">
        <f>LOOKUP($H$1,B:B,C:C/2)</f>
        <v>455.96052460711991</v>
      </c>
      <c r="AB5" s="7">
        <f t="shared" si="5"/>
        <v>110</v>
      </c>
    </row>
    <row r="6" spans="1:28" x14ac:dyDescent="0.25">
      <c r="A6">
        <v>4</v>
      </c>
      <c r="B6" s="1">
        <v>6</v>
      </c>
      <c r="C6" s="1">
        <v>218.76014262200508</v>
      </c>
      <c r="D6">
        <f t="shared" si="0"/>
        <v>-109.38007131100254</v>
      </c>
      <c r="E6">
        <f t="shared" si="1"/>
        <v>109.38007131100254</v>
      </c>
      <c r="F6" s="7">
        <f t="shared" si="6"/>
        <v>829.02875914948959</v>
      </c>
      <c r="G6" s="2">
        <f t="shared" si="2"/>
        <v>6</v>
      </c>
      <c r="J6" s="2">
        <v>218.76014262200508</v>
      </c>
      <c r="K6" s="2">
        <f t="shared" si="3"/>
        <v>-109.38007131100254</v>
      </c>
      <c r="L6" s="2">
        <f t="shared" si="4"/>
        <v>109.38007131100254</v>
      </c>
    </row>
    <row r="7" spans="1:28" x14ac:dyDescent="0.25">
      <c r="A7">
        <v>5</v>
      </c>
      <c r="B7" s="1">
        <v>8</v>
      </c>
      <c r="C7" s="1">
        <v>252.47574140895199</v>
      </c>
      <c r="D7">
        <f t="shared" si="0"/>
        <v>-126.23787070447599</v>
      </c>
      <c r="E7">
        <f t="shared" si="1"/>
        <v>126.23787070447599</v>
      </c>
      <c r="F7" s="7">
        <f t="shared" si="6"/>
        <v>1300.2646431804467</v>
      </c>
      <c r="G7" s="2">
        <f t="shared" si="2"/>
        <v>8</v>
      </c>
      <c r="J7" s="2">
        <v>252.47574140895199</v>
      </c>
      <c r="K7" s="2">
        <f t="shared" si="3"/>
        <v>-126.23787070447599</v>
      </c>
      <c r="L7" s="2">
        <f t="shared" si="4"/>
        <v>126.23787070447599</v>
      </c>
    </row>
    <row r="8" spans="1:28" x14ac:dyDescent="0.25">
      <c r="A8">
        <v>6</v>
      </c>
      <c r="B8" s="1">
        <v>10</v>
      </c>
      <c r="C8" s="1">
        <v>282.1347195933177</v>
      </c>
      <c r="D8">
        <f t="shared" si="0"/>
        <v>-141.06735979665885</v>
      </c>
      <c r="E8">
        <f t="shared" si="1"/>
        <v>141.06735979665885</v>
      </c>
      <c r="F8" s="7">
        <f t="shared" si="6"/>
        <v>1834.8751041827163</v>
      </c>
      <c r="G8" s="2">
        <f t="shared" si="2"/>
        <v>10</v>
      </c>
      <c r="J8" s="2">
        <v>282.1347195933177</v>
      </c>
      <c r="K8" s="2">
        <f t="shared" si="3"/>
        <v>-141.06735979665885</v>
      </c>
      <c r="L8" s="2">
        <f t="shared" si="4"/>
        <v>141.06735979665885</v>
      </c>
    </row>
    <row r="9" spans="1:28" x14ac:dyDescent="0.25">
      <c r="A9">
        <v>7</v>
      </c>
      <c r="B9" s="1">
        <v>12</v>
      </c>
      <c r="C9" s="1">
        <v>308.90775322092514</v>
      </c>
      <c r="D9">
        <f t="shared" si="0"/>
        <v>-154.45387661046257</v>
      </c>
      <c r="E9">
        <f t="shared" si="1"/>
        <v>154.45387661046257</v>
      </c>
      <c r="F9" s="7">
        <f t="shared" si="6"/>
        <v>2425.9175769969593</v>
      </c>
      <c r="G9" s="2">
        <f t="shared" si="2"/>
        <v>12</v>
      </c>
      <c r="J9" s="2">
        <v>308.90775322092514</v>
      </c>
      <c r="K9" s="2">
        <f t="shared" si="3"/>
        <v>-154.45387661046257</v>
      </c>
      <c r="L9" s="2">
        <f t="shared" si="4"/>
        <v>154.45387661046257</v>
      </c>
    </row>
    <row r="10" spans="1:28" x14ac:dyDescent="0.25">
      <c r="A10">
        <v>8</v>
      </c>
      <c r="B10" s="1">
        <v>14</v>
      </c>
      <c r="C10" s="1">
        <v>333.49062955351536</v>
      </c>
      <c r="D10">
        <f t="shared" si="0"/>
        <v>-166.74531477675768</v>
      </c>
      <c r="E10">
        <f t="shared" si="1"/>
        <v>166.74531477675768</v>
      </c>
      <c r="F10" s="7">
        <f t="shared" si="6"/>
        <v>3068.3159597713998</v>
      </c>
      <c r="G10" s="2">
        <f t="shared" si="2"/>
        <v>14</v>
      </c>
      <c r="J10" s="2">
        <v>333.49062955351536</v>
      </c>
      <c r="K10" s="2">
        <f t="shared" si="3"/>
        <v>-166.74531477675768</v>
      </c>
      <c r="L10" s="2">
        <f t="shared" si="4"/>
        <v>166.74531477675768</v>
      </c>
    </row>
    <row r="11" spans="1:28" x14ac:dyDescent="0.25">
      <c r="A11">
        <v>9</v>
      </c>
      <c r="B11" s="1">
        <v>16</v>
      </c>
      <c r="C11" s="1">
        <v>356.33691922112138</v>
      </c>
      <c r="D11">
        <f t="shared" si="0"/>
        <v>-178.16845961056069</v>
      </c>
      <c r="E11">
        <f t="shared" si="1"/>
        <v>178.16845961056069</v>
      </c>
      <c r="F11" s="7">
        <f t="shared" si="6"/>
        <v>3758.1435085460366</v>
      </c>
      <c r="G11" s="2">
        <f t="shared" si="2"/>
        <v>16</v>
      </c>
      <c r="I11" s="7"/>
      <c r="J11" s="2">
        <v>356.33691922112138</v>
      </c>
      <c r="K11" s="2">
        <f t="shared" si="3"/>
        <v>-178.16845961056069</v>
      </c>
      <c r="L11" s="2">
        <f t="shared" si="4"/>
        <v>178.16845961056069</v>
      </c>
    </row>
    <row r="12" spans="1:28" x14ac:dyDescent="0.25">
      <c r="A12">
        <v>10</v>
      </c>
      <c r="B12" s="1">
        <v>18</v>
      </c>
      <c r="C12" s="1">
        <v>377.76182972873266</v>
      </c>
      <c r="D12">
        <f t="shared" si="0"/>
        <v>-188.88091486436633</v>
      </c>
      <c r="E12">
        <f t="shared" si="1"/>
        <v>188.88091486436633</v>
      </c>
      <c r="F12" s="7">
        <f t="shared" si="6"/>
        <v>4492.242257495891</v>
      </c>
      <c r="G12" s="2">
        <f t="shared" si="2"/>
        <v>18</v>
      </c>
      <c r="J12" s="2">
        <v>377.76182972873266</v>
      </c>
      <c r="K12" s="2">
        <f t="shared" si="3"/>
        <v>-188.88091486436633</v>
      </c>
      <c r="L12" s="2">
        <f t="shared" si="4"/>
        <v>188.88091486436633</v>
      </c>
    </row>
    <row r="13" spans="1:28" x14ac:dyDescent="0.25">
      <c r="A13">
        <v>11</v>
      </c>
      <c r="B13" s="1">
        <v>20</v>
      </c>
      <c r="C13" s="1">
        <v>397.99497484264799</v>
      </c>
      <c r="D13">
        <f t="shared" si="0"/>
        <v>-198.997487421324</v>
      </c>
      <c r="E13">
        <f t="shared" si="1"/>
        <v>198.997487421324</v>
      </c>
      <c r="F13" s="7">
        <f t="shared" si="6"/>
        <v>5267.9990620672716</v>
      </c>
      <c r="G13" s="2">
        <f t="shared" si="2"/>
        <v>20</v>
      </c>
      <c r="J13" s="2">
        <v>397.99497484264799</v>
      </c>
      <c r="K13" s="2">
        <f t="shared" si="3"/>
        <v>-198.997487421324</v>
      </c>
      <c r="L13" s="2">
        <f t="shared" si="4"/>
        <v>198.997487421324</v>
      </c>
    </row>
    <row r="14" spans="1:28" x14ac:dyDescent="0.25">
      <c r="A14">
        <v>12</v>
      </c>
      <c r="B14" s="1">
        <v>22</v>
      </c>
      <c r="C14" s="1">
        <v>417.20977936764615</v>
      </c>
      <c r="D14">
        <f t="shared" si="0"/>
        <v>-208.60488968382307</v>
      </c>
      <c r="E14">
        <f t="shared" si="1"/>
        <v>208.60488968382307</v>
      </c>
      <c r="F14" s="7">
        <f t="shared" si="6"/>
        <v>6083.2038162775661</v>
      </c>
      <c r="G14" s="2">
        <f t="shared" si="2"/>
        <v>22</v>
      </c>
      <c r="J14" s="2">
        <v>417.20977936764615</v>
      </c>
      <c r="K14" s="2">
        <f t="shared" si="3"/>
        <v>-208.60488968382307</v>
      </c>
      <c r="L14" s="2">
        <f t="shared" si="4"/>
        <v>208.60488968382307</v>
      </c>
    </row>
    <row r="15" spans="1:28" x14ac:dyDescent="0.25">
      <c r="A15">
        <v>13</v>
      </c>
      <c r="B15" s="1">
        <v>24</v>
      </c>
      <c r="C15" s="1">
        <v>435.54104284211837</v>
      </c>
      <c r="D15">
        <f t="shared" si="0"/>
        <v>-217.77052142105919</v>
      </c>
      <c r="E15">
        <f t="shared" si="1"/>
        <v>217.77052142105919</v>
      </c>
      <c r="F15" s="7">
        <f t="shared" si="6"/>
        <v>6935.9546384873302</v>
      </c>
      <c r="G15" s="2">
        <f t="shared" si="2"/>
        <v>24</v>
      </c>
      <c r="J15" s="2">
        <v>435.54104284211837</v>
      </c>
      <c r="K15" s="2">
        <f t="shared" si="3"/>
        <v>-217.77052142105919</v>
      </c>
      <c r="L15" s="2">
        <f t="shared" si="4"/>
        <v>217.77052142105919</v>
      </c>
    </row>
    <row r="16" spans="1:28" x14ac:dyDescent="0.25">
      <c r="A16">
        <v>14</v>
      </c>
      <c r="B16" s="1">
        <v>26</v>
      </c>
      <c r="C16" s="1">
        <v>453.09601631442314</v>
      </c>
      <c r="D16">
        <f t="shared" si="0"/>
        <v>-226.54800815721157</v>
      </c>
      <c r="E16">
        <f t="shared" si="1"/>
        <v>226.54800815721157</v>
      </c>
      <c r="F16" s="7">
        <f t="shared" si="6"/>
        <v>7824.5916976438712</v>
      </c>
      <c r="G16" s="2">
        <f t="shared" si="2"/>
        <v>26</v>
      </c>
      <c r="J16" s="2">
        <v>453.09601631442314</v>
      </c>
      <c r="K16" s="2">
        <f t="shared" si="3"/>
        <v>-226.54800815721157</v>
      </c>
      <c r="L16" s="2">
        <f t="shared" si="4"/>
        <v>226.54800815721157</v>
      </c>
    </row>
    <row r="17" spans="1:12" x14ac:dyDescent="0.25">
      <c r="A17">
        <v>15</v>
      </c>
      <c r="B17" s="1">
        <v>28</v>
      </c>
      <c r="C17" s="1">
        <v>469.96170056718449</v>
      </c>
      <c r="D17">
        <f t="shared" si="0"/>
        <v>-234.98085028359225</v>
      </c>
      <c r="E17">
        <f t="shared" si="1"/>
        <v>234.98085028359225</v>
      </c>
      <c r="F17" s="7">
        <f t="shared" si="6"/>
        <v>8747.6494145254783</v>
      </c>
      <c r="G17" s="2">
        <f t="shared" si="2"/>
        <v>28</v>
      </c>
      <c r="J17" s="2">
        <v>469.96170056718449</v>
      </c>
      <c r="K17" s="2">
        <f t="shared" si="3"/>
        <v>-234.98085028359225</v>
      </c>
      <c r="L17" s="2">
        <f t="shared" si="4"/>
        <v>234.98085028359225</v>
      </c>
    </row>
    <row r="18" spans="1:12" x14ac:dyDescent="0.25">
      <c r="A18">
        <v>16</v>
      </c>
      <c r="B18" s="1">
        <v>30</v>
      </c>
      <c r="C18" s="1">
        <v>486.20983124572871</v>
      </c>
      <c r="D18">
        <f t="shared" si="0"/>
        <v>-243.10491562286435</v>
      </c>
      <c r="E18">
        <f t="shared" si="1"/>
        <v>243.10491562286435</v>
      </c>
      <c r="F18" s="7">
        <f t="shared" si="6"/>
        <v>9703.8209463383919</v>
      </c>
      <c r="G18" s="2">
        <f t="shared" si="2"/>
        <v>30</v>
      </c>
      <c r="J18" s="2">
        <v>486.20983124572871</v>
      </c>
      <c r="K18" s="2">
        <f t="shared" si="3"/>
        <v>-243.10491562286435</v>
      </c>
      <c r="L18" s="2">
        <f t="shared" si="4"/>
        <v>243.10491562286435</v>
      </c>
    </row>
    <row r="19" spans="1:12" x14ac:dyDescent="0.25">
      <c r="A19">
        <v>17</v>
      </c>
      <c r="B19" s="1">
        <v>32</v>
      </c>
      <c r="C19" s="1">
        <v>501.90038852345992</v>
      </c>
      <c r="D19">
        <f t="shared" si="0"/>
        <v>-250.95019426172996</v>
      </c>
      <c r="E19">
        <f t="shared" si="1"/>
        <v>250.95019426172996</v>
      </c>
      <c r="F19" s="7">
        <f t="shared" si="6"/>
        <v>10691.931166107581</v>
      </c>
      <c r="G19" s="2">
        <f t="shared" si="2"/>
        <v>32</v>
      </c>
      <c r="J19" s="2">
        <v>501.90038852345992</v>
      </c>
      <c r="K19" s="2">
        <f t="shared" si="3"/>
        <v>-250.95019426172996</v>
      </c>
      <c r="L19" s="2">
        <f t="shared" si="4"/>
        <v>250.95019426172996</v>
      </c>
    </row>
    <row r="20" spans="1:12" x14ac:dyDescent="0.25">
      <c r="A20">
        <v>18</v>
      </c>
      <c r="B20" s="1">
        <v>34</v>
      </c>
      <c r="C20" s="1">
        <v>517.08413241947392</v>
      </c>
      <c r="D20">
        <f t="shared" si="0"/>
        <v>-258.54206620973696</v>
      </c>
      <c r="E20">
        <f t="shared" si="1"/>
        <v>258.54206620973696</v>
      </c>
      <c r="F20" s="7">
        <f t="shared" si="6"/>
        <v>11710.915687050514</v>
      </c>
      <c r="G20" s="2">
        <f t="shared" si="2"/>
        <v>34</v>
      </c>
      <c r="J20" s="2">
        <v>517.08413241947392</v>
      </c>
      <c r="K20" s="2">
        <f t="shared" si="3"/>
        <v>-258.54206620973696</v>
      </c>
      <c r="L20" s="2">
        <f t="shared" si="4"/>
        <v>258.54206620973696</v>
      </c>
    </row>
    <row r="21" spans="1:12" x14ac:dyDescent="0.25">
      <c r="A21">
        <v>19</v>
      </c>
      <c r="B21" s="1">
        <v>36</v>
      </c>
      <c r="C21" s="1">
        <v>531.8044753478481</v>
      </c>
      <c r="D21">
        <f t="shared" si="0"/>
        <v>-265.90223767392405</v>
      </c>
      <c r="E21">
        <f t="shared" si="1"/>
        <v>265.90223767392405</v>
      </c>
      <c r="F21" s="7">
        <f t="shared" si="6"/>
        <v>12759.804294817835</v>
      </c>
      <c r="G21" s="2">
        <f t="shared" si="2"/>
        <v>36</v>
      </c>
      <c r="J21" s="2">
        <v>531.8044753478481</v>
      </c>
      <c r="K21" s="2">
        <f t="shared" si="3"/>
        <v>-265.90223767392405</v>
      </c>
      <c r="L21" s="2">
        <f t="shared" si="4"/>
        <v>265.90223767392405</v>
      </c>
    </row>
    <row r="22" spans="1:12" x14ac:dyDescent="0.25">
      <c r="A22">
        <v>20</v>
      </c>
      <c r="B22" s="1">
        <v>38</v>
      </c>
      <c r="C22" s="1">
        <v>546.09889214317218</v>
      </c>
      <c r="D22">
        <f t="shared" si="0"/>
        <v>-273.04944607158609</v>
      </c>
      <c r="E22">
        <f t="shared" si="1"/>
        <v>273.04944607158609</v>
      </c>
      <c r="F22" s="7">
        <f t="shared" si="6"/>
        <v>13837.707662308856</v>
      </c>
      <c r="G22" s="2">
        <f t="shared" si="2"/>
        <v>38</v>
      </c>
      <c r="J22" s="2">
        <v>546.09889214317218</v>
      </c>
      <c r="K22" s="2">
        <f t="shared" si="3"/>
        <v>-273.04944607158609</v>
      </c>
      <c r="L22" s="2">
        <f t="shared" si="4"/>
        <v>273.04944607158609</v>
      </c>
    </row>
    <row r="23" spans="1:12" x14ac:dyDescent="0.25">
      <c r="A23">
        <v>21</v>
      </c>
      <c r="B23" s="1">
        <v>40</v>
      </c>
      <c r="C23" s="1">
        <v>560</v>
      </c>
      <c r="D23">
        <f t="shared" si="0"/>
        <v>-280</v>
      </c>
      <c r="E23">
        <f t="shared" si="1"/>
        <v>280</v>
      </c>
      <c r="F23" s="7">
        <f t="shared" si="6"/>
        <v>14943.806554452029</v>
      </c>
      <c r="G23" s="2">
        <f t="shared" si="2"/>
        <v>40</v>
      </c>
      <c r="J23" s="2">
        <v>560</v>
      </c>
      <c r="K23" s="2">
        <f t="shared" si="3"/>
        <v>-280</v>
      </c>
      <c r="L23" s="2">
        <f t="shared" si="4"/>
        <v>280</v>
      </c>
    </row>
    <row r="24" spans="1:12" x14ac:dyDescent="0.25">
      <c r="A24">
        <v>22</v>
      </c>
      <c r="B24" s="1">
        <v>42</v>
      </c>
      <c r="C24" s="1">
        <v>573.53639814749329</v>
      </c>
      <c r="D24">
        <f t="shared" si="0"/>
        <v>-286.76819907374664</v>
      </c>
      <c r="E24">
        <f t="shared" si="1"/>
        <v>286.76819907374664</v>
      </c>
      <c r="F24" s="7">
        <f t="shared" si="6"/>
        <v>16077.342952599522</v>
      </c>
      <c r="G24" s="2">
        <f t="shared" si="2"/>
        <v>42</v>
      </c>
      <c r="H24" s="7"/>
      <c r="J24" s="2">
        <v>573.53639814749329</v>
      </c>
      <c r="K24" s="2">
        <f t="shared" si="3"/>
        <v>-286.76819907374664</v>
      </c>
      <c r="L24" s="2">
        <f t="shared" si="4"/>
        <v>286.76819907374664</v>
      </c>
    </row>
    <row r="25" spans="1:12" x14ac:dyDescent="0.25">
      <c r="A25">
        <v>23</v>
      </c>
      <c r="B25" s="1">
        <v>44</v>
      </c>
      <c r="C25" s="1">
        <v>586.73332954588489</v>
      </c>
      <c r="D25">
        <f t="shared" si="0"/>
        <v>-293.36666477294244</v>
      </c>
      <c r="E25">
        <f t="shared" si="1"/>
        <v>293.36666477294244</v>
      </c>
      <c r="F25" s="7">
        <f t="shared" si="6"/>
        <v>17237.612680292899</v>
      </c>
      <c r="G25" s="2">
        <f t="shared" si="2"/>
        <v>44</v>
      </c>
      <c r="J25" s="2">
        <v>586.73332954588489</v>
      </c>
      <c r="K25" s="2">
        <f t="shared" si="3"/>
        <v>-293.36666477294244</v>
      </c>
      <c r="L25" s="2">
        <f t="shared" si="4"/>
        <v>293.36666477294244</v>
      </c>
    </row>
    <row r="26" spans="1:12" x14ac:dyDescent="0.25">
      <c r="A26">
        <v>24</v>
      </c>
      <c r="B26" s="1">
        <v>46</v>
      </c>
      <c r="C26" s="1">
        <v>599.61320866038295</v>
      </c>
      <c r="D26">
        <f t="shared" si="0"/>
        <v>-299.80660433019148</v>
      </c>
      <c r="E26">
        <f t="shared" si="1"/>
        <v>299.80660433019148</v>
      </c>
      <c r="F26" s="7">
        <f t="shared" si="6"/>
        <v>18423.959218499167</v>
      </c>
      <c r="G26" s="2">
        <f t="shared" si="2"/>
        <v>46</v>
      </c>
      <c r="J26" s="2">
        <v>599.61320866038295</v>
      </c>
      <c r="K26" s="2">
        <f t="shared" si="3"/>
        <v>-299.80660433019148</v>
      </c>
      <c r="L26" s="2">
        <f t="shared" si="4"/>
        <v>299.80660433019148</v>
      </c>
    </row>
    <row r="27" spans="1:12" x14ac:dyDescent="0.25">
      <c r="A27">
        <v>25</v>
      </c>
      <c r="B27" s="1">
        <v>48</v>
      </c>
      <c r="C27" s="1">
        <v>612.19604703068774</v>
      </c>
      <c r="D27">
        <f t="shared" si="0"/>
        <v>-306.09802351534387</v>
      </c>
      <c r="E27">
        <f t="shared" si="1"/>
        <v>306.09802351534387</v>
      </c>
      <c r="F27" s="7">
        <f t="shared" si="6"/>
        <v>19635.768474190238</v>
      </c>
      <c r="G27" s="2">
        <f t="shared" si="2"/>
        <v>48</v>
      </c>
      <c r="J27" s="2">
        <v>612.19604703068774</v>
      </c>
      <c r="K27" s="2">
        <f t="shared" si="3"/>
        <v>-306.09802351534387</v>
      </c>
      <c r="L27" s="2">
        <f t="shared" si="4"/>
        <v>306.09802351534387</v>
      </c>
    </row>
    <row r="28" spans="1:12" x14ac:dyDescent="0.25">
      <c r="A28">
        <v>26</v>
      </c>
      <c r="B28" s="1">
        <v>50</v>
      </c>
      <c r="C28" s="1">
        <v>624.49979983983985</v>
      </c>
      <c r="D28">
        <f t="shared" si="0"/>
        <v>-312.24989991991993</v>
      </c>
      <c r="E28">
        <f t="shared" si="1"/>
        <v>312.24989991991993</v>
      </c>
      <c r="F28" s="7">
        <f t="shared" si="6"/>
        <v>20872.464321060765</v>
      </c>
      <c r="G28" s="2">
        <f t="shared" si="2"/>
        <v>50</v>
      </c>
      <c r="J28" s="2">
        <v>624.49979983983985</v>
      </c>
      <c r="K28" s="2">
        <f t="shared" si="3"/>
        <v>-312.24989991991993</v>
      </c>
      <c r="L28" s="2">
        <f t="shared" si="4"/>
        <v>312.24989991991993</v>
      </c>
    </row>
    <row r="29" spans="1:12" x14ac:dyDescent="0.25">
      <c r="A29">
        <v>27</v>
      </c>
      <c r="B29" s="1">
        <v>52</v>
      </c>
      <c r="C29" s="1">
        <v>636.54065070504339</v>
      </c>
      <c r="D29">
        <f t="shared" si="0"/>
        <v>-318.2703253525217</v>
      </c>
      <c r="E29">
        <f t="shared" si="1"/>
        <v>318.2703253525217</v>
      </c>
      <c r="F29" s="7">
        <f t="shared" si="6"/>
        <v>22133.504771605647</v>
      </c>
      <c r="G29" s="2">
        <f t="shared" si="2"/>
        <v>52</v>
      </c>
      <c r="J29" s="2">
        <v>636.54065070504339</v>
      </c>
      <c r="K29" s="2">
        <f t="shared" si="3"/>
        <v>-318.2703253525217</v>
      </c>
      <c r="L29" s="2">
        <f t="shared" si="4"/>
        <v>318.2703253525217</v>
      </c>
    </row>
    <row r="30" spans="1:12" x14ac:dyDescent="0.25">
      <c r="A30">
        <v>28</v>
      </c>
      <c r="B30" s="1">
        <v>54</v>
      </c>
      <c r="C30" s="1">
        <v>648.33324764352471</v>
      </c>
      <c r="D30">
        <f t="shared" si="0"/>
        <v>-324.16662382176236</v>
      </c>
      <c r="E30">
        <f t="shared" si="1"/>
        <v>324.16662382176236</v>
      </c>
      <c r="F30" s="7">
        <f t="shared" si="6"/>
        <v>23418.378669954214</v>
      </c>
      <c r="G30" s="2">
        <f t="shared" si="2"/>
        <v>54</v>
      </c>
      <c r="J30" s="2">
        <v>648.33324764352471</v>
      </c>
      <c r="K30" s="2">
        <f t="shared" si="3"/>
        <v>-324.16662382176236</v>
      </c>
      <c r="L30" s="2">
        <f t="shared" si="4"/>
        <v>324.16662382176236</v>
      </c>
    </row>
    <row r="31" spans="1:12" x14ac:dyDescent="0.25">
      <c r="A31">
        <v>29</v>
      </c>
      <c r="B31" s="1">
        <v>56</v>
      </c>
      <c r="C31" s="1">
        <v>659.89090007364098</v>
      </c>
      <c r="D31">
        <f t="shared" si="0"/>
        <v>-329.94545003682049</v>
      </c>
      <c r="E31">
        <f t="shared" si="1"/>
        <v>329.94545003682049</v>
      </c>
      <c r="F31" s="7">
        <f t="shared" si="6"/>
        <v>24726.602817671381</v>
      </c>
      <c r="G31" s="2">
        <f t="shared" si="2"/>
        <v>56</v>
      </c>
      <c r="J31" s="2">
        <v>659.89090007364098</v>
      </c>
      <c r="K31" s="2">
        <f t="shared" si="3"/>
        <v>-329.94545003682049</v>
      </c>
      <c r="L31" s="2">
        <f t="shared" si="4"/>
        <v>329.94545003682049</v>
      </c>
    </row>
    <row r="32" spans="1:12" x14ac:dyDescent="0.25">
      <c r="A32">
        <v>30</v>
      </c>
      <c r="B32" s="1">
        <v>58</v>
      </c>
      <c r="C32" s="1">
        <v>671.22574444072097</v>
      </c>
      <c r="D32">
        <f t="shared" si="0"/>
        <v>-335.61287222036049</v>
      </c>
      <c r="E32">
        <f t="shared" si="1"/>
        <v>335.61287222036049</v>
      </c>
      <c r="F32" s="7">
        <f t="shared" si="6"/>
        <v>26057.719462185742</v>
      </c>
      <c r="G32" s="2">
        <f t="shared" si="2"/>
        <v>58</v>
      </c>
      <c r="J32" s="2">
        <v>671.22574444072097</v>
      </c>
      <c r="K32" s="2">
        <f t="shared" si="3"/>
        <v>-335.61287222036049</v>
      </c>
      <c r="L32" s="2">
        <f t="shared" si="4"/>
        <v>335.61287222036049</v>
      </c>
    </row>
    <row r="33" spans="1:12" x14ac:dyDescent="0.25">
      <c r="A33">
        <v>31</v>
      </c>
      <c r="B33" s="1">
        <v>60</v>
      </c>
      <c r="C33" s="1">
        <v>682.34888436927918</v>
      </c>
      <c r="D33">
        <f t="shared" si="0"/>
        <v>-341.17444218463959</v>
      </c>
      <c r="E33">
        <f t="shared" si="1"/>
        <v>341.17444218463959</v>
      </c>
      <c r="F33" s="7">
        <f t="shared" si="6"/>
        <v>27411.294090995743</v>
      </c>
      <c r="G33" s="2">
        <f t="shared" si="2"/>
        <v>60</v>
      </c>
      <c r="J33" s="2">
        <v>682.34888436927918</v>
      </c>
      <c r="K33" s="2">
        <f t="shared" si="3"/>
        <v>-341.17444218463959</v>
      </c>
      <c r="L33" s="2">
        <f t="shared" si="4"/>
        <v>341.17444218463959</v>
      </c>
    </row>
    <row r="34" spans="1:12" x14ac:dyDescent="0.25">
      <c r="A34">
        <v>32</v>
      </c>
      <c r="B34" s="1">
        <v>62</v>
      </c>
      <c r="C34" s="1">
        <v>693.27050997428125</v>
      </c>
      <c r="D34">
        <f t="shared" si="0"/>
        <v>-346.63525498714063</v>
      </c>
      <c r="E34">
        <f t="shared" si="1"/>
        <v>346.63525498714063</v>
      </c>
      <c r="F34" s="7">
        <f t="shared" si="6"/>
        <v>28786.913485339304</v>
      </c>
      <c r="G34" s="2">
        <f t="shared" si="2"/>
        <v>62</v>
      </c>
      <c r="J34" s="2">
        <v>693.27050997428125</v>
      </c>
      <c r="K34" s="2">
        <f t="shared" si="3"/>
        <v>-346.63525498714063</v>
      </c>
      <c r="L34" s="2">
        <f t="shared" si="4"/>
        <v>346.63525498714063</v>
      </c>
    </row>
    <row r="35" spans="1:12" x14ac:dyDescent="0.25">
      <c r="A35">
        <v>33</v>
      </c>
      <c r="B35" s="1">
        <v>64</v>
      </c>
      <c r="C35" s="1">
        <v>704</v>
      </c>
      <c r="D35">
        <f t="shared" si="0"/>
        <v>-352</v>
      </c>
      <c r="E35">
        <f t="shared" si="1"/>
        <v>352</v>
      </c>
      <c r="F35" s="7">
        <f t="shared" si="6"/>
        <v>30184.183995313586</v>
      </c>
      <c r="G35" s="2">
        <f t="shared" si="2"/>
        <v>64</v>
      </c>
      <c r="J35" s="2">
        <v>704</v>
      </c>
      <c r="K35" s="2">
        <f t="shared" si="3"/>
        <v>-352</v>
      </c>
      <c r="L35" s="2">
        <f t="shared" si="4"/>
        <v>352</v>
      </c>
    </row>
    <row r="36" spans="1:12" x14ac:dyDescent="0.25">
      <c r="A36">
        <v>34</v>
      </c>
      <c r="B36" s="1">
        <v>66</v>
      </c>
      <c r="C36" s="1">
        <v>714.54600971525974</v>
      </c>
      <c r="D36">
        <f t="shared" si="0"/>
        <v>-357.27300485762987</v>
      </c>
      <c r="E36">
        <f t="shared" si="1"/>
        <v>357.27300485762987</v>
      </c>
      <c r="F36" s="7">
        <f t="shared" si="6"/>
        <v>31602.730005028847</v>
      </c>
      <c r="G36" s="2">
        <f t="shared" si="2"/>
        <v>66</v>
      </c>
      <c r="J36" s="2">
        <v>714.54600971525974</v>
      </c>
      <c r="K36" s="2">
        <f t="shared" si="3"/>
        <v>-357.27300485762987</v>
      </c>
      <c r="L36" s="2">
        <f t="shared" si="4"/>
        <v>357.27300485762987</v>
      </c>
    </row>
    <row r="37" spans="1:12" x14ac:dyDescent="0.25">
      <c r="A37">
        <v>35</v>
      </c>
      <c r="B37" s="1">
        <v>68</v>
      </c>
      <c r="C37" s="1">
        <v>724.91654692109216</v>
      </c>
      <c r="D37">
        <f t="shared" si="0"/>
        <v>-362.45827346054608</v>
      </c>
      <c r="E37">
        <f t="shared" si="1"/>
        <v>362.45827346054608</v>
      </c>
      <c r="F37" s="7">
        <f t="shared" si="6"/>
        <v>33042.192561665201</v>
      </c>
      <c r="G37" s="2">
        <f t="shared" si="2"/>
        <v>68</v>
      </c>
      <c r="J37" s="2">
        <v>724.91654692109216</v>
      </c>
      <c r="K37" s="2">
        <f t="shared" si="3"/>
        <v>-362.45827346054608</v>
      </c>
      <c r="L37" s="2">
        <f t="shared" si="4"/>
        <v>362.45827346054608</v>
      </c>
    </row>
    <row r="38" spans="1:12" x14ac:dyDescent="0.25">
      <c r="A38">
        <v>36</v>
      </c>
      <c r="B38" s="1">
        <v>70</v>
      </c>
      <c r="C38" s="1">
        <v>735.11903797956427</v>
      </c>
      <c r="D38">
        <f t="shared" si="0"/>
        <v>-367.55951898978213</v>
      </c>
      <c r="E38">
        <f t="shared" si="1"/>
        <v>367.55951898978213</v>
      </c>
      <c r="F38" s="7">
        <f t="shared" si="6"/>
        <v>34502.22814656586</v>
      </c>
      <c r="G38" s="2">
        <f t="shared" si="2"/>
        <v>70</v>
      </c>
      <c r="J38" s="2">
        <v>735.11903797956427</v>
      </c>
      <c r="K38" s="2">
        <f t="shared" si="3"/>
        <v>-367.55951898978213</v>
      </c>
      <c r="L38" s="2">
        <f t="shared" si="4"/>
        <v>367.55951898978213</v>
      </c>
    </row>
    <row r="39" spans="1:12" x14ac:dyDescent="0.25">
      <c r="A39">
        <v>37</v>
      </c>
      <c r="B39" s="1">
        <v>72</v>
      </c>
      <c r="C39" s="1">
        <v>745.16038542048113</v>
      </c>
      <c r="D39">
        <f t="shared" si="0"/>
        <v>-372.58019271024057</v>
      </c>
      <c r="E39">
        <f t="shared" si="1"/>
        <v>372.58019271024057</v>
      </c>
      <c r="F39" s="7">
        <f t="shared" si="6"/>
        <v>35982.507569965906</v>
      </c>
      <c r="G39" s="2">
        <f t="shared" si="2"/>
        <v>72</v>
      </c>
      <c r="J39" s="2">
        <v>745.16038542048113</v>
      </c>
      <c r="K39" s="2">
        <f t="shared" si="3"/>
        <v>-372.58019271024057</v>
      </c>
      <c r="L39" s="2">
        <f t="shared" si="4"/>
        <v>372.58019271024057</v>
      </c>
    </row>
    <row r="40" spans="1:12" x14ac:dyDescent="0.25">
      <c r="A40">
        <v>38</v>
      </c>
      <c r="B40" s="1">
        <v>74</v>
      </c>
      <c r="C40" s="1">
        <v>755.04701840348991</v>
      </c>
      <c r="D40">
        <f t="shared" si="0"/>
        <v>-377.52350920174496</v>
      </c>
      <c r="E40">
        <f t="shared" si="1"/>
        <v>377.52350920174496</v>
      </c>
      <c r="F40" s="7">
        <f t="shared" si="6"/>
        <v>37482.71497378988</v>
      </c>
      <c r="G40" s="2">
        <f t="shared" si="2"/>
        <v>74</v>
      </c>
      <c r="J40" s="2">
        <v>755.04701840348991</v>
      </c>
      <c r="K40" s="2">
        <f t="shared" si="3"/>
        <v>-377.52350920174496</v>
      </c>
      <c r="L40" s="2">
        <f t="shared" si="4"/>
        <v>377.52350920174496</v>
      </c>
    </row>
    <row r="41" spans="1:12" x14ac:dyDescent="0.25">
      <c r="A41">
        <v>39</v>
      </c>
      <c r="B41" s="1">
        <v>76</v>
      </c>
      <c r="C41" s="1">
        <v>764.78493709016004</v>
      </c>
      <c r="D41">
        <f t="shared" si="0"/>
        <v>-382.39246854508002</v>
      </c>
      <c r="E41">
        <f t="shared" si="1"/>
        <v>382.39246854508002</v>
      </c>
      <c r="F41" s="7">
        <f t="shared" si="6"/>
        <v>39002.546929283533</v>
      </c>
      <c r="G41" s="2">
        <f t="shared" si="2"/>
        <v>76</v>
      </c>
      <c r="J41" s="2">
        <v>764.78493709016004</v>
      </c>
      <c r="K41" s="2">
        <f t="shared" si="3"/>
        <v>-382.39246854508002</v>
      </c>
      <c r="L41" s="2">
        <f t="shared" si="4"/>
        <v>382.39246854508002</v>
      </c>
    </row>
    <row r="42" spans="1:12" x14ac:dyDescent="0.25">
      <c r="A42">
        <v>40</v>
      </c>
      <c r="B42" s="1">
        <v>78</v>
      </c>
      <c r="C42" s="1">
        <v>774.37975180140143</v>
      </c>
      <c r="D42">
        <f t="shared" si="0"/>
        <v>-387.18987590070071</v>
      </c>
      <c r="E42">
        <f t="shared" si="1"/>
        <v>387.18987590070071</v>
      </c>
      <c r="F42" s="7">
        <f t="shared" si="6"/>
        <v>40541.711618175097</v>
      </c>
      <c r="G42" s="2">
        <f t="shared" si="2"/>
        <v>78</v>
      </c>
      <c r="J42" s="2">
        <v>774.37975180140143</v>
      </c>
      <c r="K42" s="2">
        <f t="shared" si="3"/>
        <v>-387.18987590070071</v>
      </c>
      <c r="L42" s="2">
        <f t="shared" si="4"/>
        <v>387.18987590070071</v>
      </c>
    </row>
    <row r="43" spans="1:12" x14ac:dyDescent="0.25">
      <c r="A43">
        <v>41</v>
      </c>
      <c r="B43" s="1">
        <v>80</v>
      </c>
      <c r="C43" s="1">
        <v>783.83671769061698</v>
      </c>
      <c r="D43">
        <f t="shared" si="0"/>
        <v>-391.91835884530849</v>
      </c>
      <c r="E43">
        <f t="shared" si="1"/>
        <v>391.91835884530849</v>
      </c>
      <c r="F43" s="7">
        <f t="shared" si="6"/>
        <v>42099.928087667118</v>
      </c>
      <c r="G43" s="2">
        <f t="shared" si="2"/>
        <v>80</v>
      </c>
      <c r="J43" s="2">
        <v>783.83671769061698</v>
      </c>
      <c r="K43" s="2">
        <f t="shared" si="3"/>
        <v>-391.91835884530849</v>
      </c>
      <c r="L43" s="2">
        <f t="shared" si="4"/>
        <v>391.91835884530849</v>
      </c>
    </row>
    <row r="44" spans="1:12" x14ac:dyDescent="0.25">
      <c r="A44">
        <v>42</v>
      </c>
      <c r="B44" s="1">
        <v>82</v>
      </c>
      <c r="C44" s="1">
        <v>793.16076554504389</v>
      </c>
      <c r="D44">
        <f t="shared" si="0"/>
        <v>-396.58038277252194</v>
      </c>
      <c r="E44">
        <f t="shared" si="1"/>
        <v>396.58038277252194</v>
      </c>
      <c r="F44" s="7">
        <f t="shared" si="6"/>
        <v>43676.925570902778</v>
      </c>
      <c r="G44" s="2">
        <f t="shared" si="2"/>
        <v>82</v>
      </c>
      <c r="J44" s="2">
        <v>793.16076554504389</v>
      </c>
      <c r="K44" s="2">
        <f t="shared" si="3"/>
        <v>-396.58038277252194</v>
      </c>
      <c r="L44" s="2">
        <f t="shared" si="4"/>
        <v>396.58038277252194</v>
      </c>
    </row>
    <row r="45" spans="1:12" x14ac:dyDescent="0.25">
      <c r="A45">
        <v>43</v>
      </c>
      <c r="B45" s="1">
        <v>84</v>
      </c>
      <c r="C45" s="1">
        <v>802.35652923123894</v>
      </c>
      <c r="D45">
        <f t="shared" si="0"/>
        <v>-401.17826461561947</v>
      </c>
      <c r="E45">
        <f t="shared" si="1"/>
        <v>401.17826461561947</v>
      </c>
      <c r="F45" s="7">
        <f t="shared" si="6"/>
        <v>45272.442865679062</v>
      </c>
      <c r="G45" s="2">
        <f t="shared" si="2"/>
        <v>84</v>
      </c>
      <c r="J45" s="2">
        <v>802.35652923123894</v>
      </c>
      <c r="K45" s="2">
        <f t="shared" si="3"/>
        <v>-401.17826461561947</v>
      </c>
      <c r="L45" s="2">
        <f t="shared" si="4"/>
        <v>401.17826461561947</v>
      </c>
    </row>
    <row r="46" spans="1:12" x14ac:dyDescent="0.25">
      <c r="A46">
        <v>44</v>
      </c>
      <c r="B46" s="1">
        <v>86</v>
      </c>
      <c r="C46" s="1">
        <v>811.428370221303</v>
      </c>
      <c r="D46">
        <f t="shared" si="0"/>
        <v>-405.7141851106515</v>
      </c>
      <c r="E46">
        <f t="shared" si="1"/>
        <v>405.7141851106515</v>
      </c>
      <c r="F46" s="7">
        <f t="shared" si="6"/>
        <v>46886.227765131604</v>
      </c>
      <c r="G46" s="2">
        <f t="shared" si="2"/>
        <v>86</v>
      </c>
      <c r="J46" s="2">
        <v>811.428370221303</v>
      </c>
      <c r="K46" s="2">
        <f t="shared" si="3"/>
        <v>-405.7141851106515</v>
      </c>
      <c r="L46" s="2">
        <f t="shared" si="4"/>
        <v>405.7141851106515</v>
      </c>
    </row>
    <row r="47" spans="1:12" x14ac:dyDescent="0.25">
      <c r="A47">
        <v>45</v>
      </c>
      <c r="B47" s="1">
        <v>88</v>
      </c>
      <c r="C47" s="1">
        <v>820.38039957083322</v>
      </c>
      <c r="D47">
        <f t="shared" si="0"/>
        <v>-410.19019978541661</v>
      </c>
      <c r="E47">
        <f t="shared" si="1"/>
        <v>410.19019978541661</v>
      </c>
      <c r="F47" s="7">
        <f t="shared" si="6"/>
        <v>48518.03653492374</v>
      </c>
      <c r="G47" s="2">
        <f t="shared" si="2"/>
        <v>88</v>
      </c>
      <c r="J47" s="2">
        <v>820.38039957083322</v>
      </c>
      <c r="K47" s="2">
        <f t="shared" si="3"/>
        <v>-410.19019978541661</v>
      </c>
      <c r="L47" s="2">
        <f t="shared" si="4"/>
        <v>410.19019978541661</v>
      </c>
    </row>
    <row r="48" spans="1:12" x14ac:dyDescent="0.25">
      <c r="A48">
        <v>46</v>
      </c>
      <c r="B48" s="1">
        <v>90</v>
      </c>
      <c r="C48" s="1">
        <v>829.21649766511518</v>
      </c>
      <c r="D48">
        <f t="shared" si="0"/>
        <v>-414.60824883255759</v>
      </c>
      <c r="E48">
        <f t="shared" si="1"/>
        <v>414.60824883255759</v>
      </c>
      <c r="F48" s="7">
        <f t="shared" si="6"/>
        <v>50167.633432159688</v>
      </c>
      <c r="G48" s="2">
        <f t="shared" si="2"/>
        <v>90</v>
      </c>
      <c r="J48" s="2">
        <v>829.21649766511518</v>
      </c>
      <c r="K48" s="2">
        <f t="shared" si="3"/>
        <v>-414.60824883255759</v>
      </c>
      <c r="L48" s="2">
        <f t="shared" si="4"/>
        <v>414.60824883255759</v>
      </c>
    </row>
    <row r="49" spans="1:12" x14ac:dyDescent="0.25">
      <c r="A49">
        <v>47</v>
      </c>
      <c r="B49" s="1">
        <v>92</v>
      </c>
      <c r="C49" s="1">
        <v>837.9403320046124</v>
      </c>
      <c r="D49">
        <f t="shared" si="0"/>
        <v>-418.9701660023062</v>
      </c>
      <c r="E49">
        <f t="shared" si="1"/>
        <v>418.9701660023062</v>
      </c>
      <c r="F49" s="7">
        <f t="shared" si="6"/>
        <v>51834.790261829417</v>
      </c>
      <c r="G49" s="2">
        <f t="shared" si="2"/>
        <v>92</v>
      </c>
      <c r="J49" s="2">
        <v>837.9403320046124</v>
      </c>
      <c r="K49" s="2">
        <f t="shared" si="3"/>
        <v>-418.9701660023062</v>
      </c>
      <c r="L49" s="2">
        <f t="shared" si="4"/>
        <v>418.9701660023062</v>
      </c>
    </row>
    <row r="50" spans="1:12" x14ac:dyDescent="0.25">
      <c r="A50">
        <v>48</v>
      </c>
      <c r="B50" s="1">
        <v>94</v>
      </c>
      <c r="C50" s="1">
        <v>846.55537326272997</v>
      </c>
      <c r="D50">
        <f t="shared" si="0"/>
        <v>-423.27768663136499</v>
      </c>
      <c r="E50">
        <f t="shared" si="1"/>
        <v>423.27768663136499</v>
      </c>
      <c r="F50" s="7">
        <f t="shared" si="6"/>
        <v>53519.285967096759</v>
      </c>
      <c r="G50" s="2">
        <f t="shared" si="2"/>
        <v>94</v>
      </c>
      <c r="J50" s="2">
        <v>846.55537326272997</v>
      </c>
      <c r="K50" s="2">
        <f t="shared" si="3"/>
        <v>-423.27768663136499</v>
      </c>
      <c r="L50" s="2">
        <f t="shared" si="4"/>
        <v>423.27768663136499</v>
      </c>
    </row>
    <row r="51" spans="1:12" x14ac:dyDescent="0.25">
      <c r="A51">
        <v>49</v>
      </c>
      <c r="B51" s="1">
        <v>96</v>
      </c>
      <c r="C51" s="1">
        <v>855.06490981679281</v>
      </c>
      <c r="D51">
        <f t="shared" si="0"/>
        <v>-427.5324549083964</v>
      </c>
      <c r="E51">
        <f t="shared" si="1"/>
        <v>427.5324549083964</v>
      </c>
      <c r="F51" s="7">
        <f t="shared" si="6"/>
        <v>55220.906250176282</v>
      </c>
      <c r="G51" s="2">
        <f t="shared" si="2"/>
        <v>96</v>
      </c>
      <c r="J51" s="2">
        <v>855.06490981679281</v>
      </c>
      <c r="K51" s="2">
        <f t="shared" si="3"/>
        <v>-427.5324549083964</v>
      </c>
      <c r="L51" s="2">
        <f t="shared" si="4"/>
        <v>427.5324549083964</v>
      </c>
    </row>
    <row r="52" spans="1:12" x14ac:dyDescent="0.25">
      <c r="A52">
        <v>50</v>
      </c>
      <c r="B52" s="1">
        <v>98</v>
      </c>
      <c r="C52" s="1">
        <v>863.47206092611941</v>
      </c>
      <c r="D52">
        <f t="shared" si="0"/>
        <v>-431.73603046305971</v>
      </c>
      <c r="E52">
        <f t="shared" si="1"/>
        <v>431.73603046305971</v>
      </c>
      <c r="F52" s="7">
        <f t="shared" si="6"/>
        <v>56939.443220919195</v>
      </c>
      <c r="G52" s="2">
        <f t="shared" si="2"/>
        <v>98</v>
      </c>
      <c r="J52" s="2">
        <v>863.47206092611941</v>
      </c>
      <c r="K52" s="2">
        <f t="shared" si="3"/>
        <v>-431.73603046305971</v>
      </c>
      <c r="L52" s="2">
        <f t="shared" si="4"/>
        <v>431.73603046305971</v>
      </c>
    </row>
    <row r="53" spans="1:12" x14ac:dyDescent="0.25">
      <c r="A53">
        <v>51</v>
      </c>
      <c r="B53" s="1">
        <v>100</v>
      </c>
      <c r="C53" s="1">
        <v>871.77978870813467</v>
      </c>
      <c r="D53">
        <f t="shared" si="0"/>
        <v>-435.88989435406734</v>
      </c>
      <c r="E53">
        <f t="shared" si="1"/>
        <v>435.88989435406734</v>
      </c>
      <c r="F53" s="7">
        <f t="shared" si="6"/>
        <v>58674.695070553447</v>
      </c>
      <c r="G53" s="2">
        <f t="shared" si="2"/>
        <v>100</v>
      </c>
      <c r="J53" s="2">
        <v>871.77978870813467</v>
      </c>
      <c r="K53" s="2">
        <f t="shared" si="3"/>
        <v>-435.88989435406734</v>
      </c>
      <c r="L53" s="2">
        <f t="shared" si="4"/>
        <v>435.88989435406734</v>
      </c>
    </row>
    <row r="54" spans="1:12" x14ac:dyDescent="0.25">
      <c r="A54">
        <v>52</v>
      </c>
      <c r="B54" s="1">
        <v>102</v>
      </c>
      <c r="C54" s="1">
        <v>879.99090904395143</v>
      </c>
      <c r="D54">
        <f t="shared" si="0"/>
        <v>-439.99545452197572</v>
      </c>
      <c r="E54">
        <f t="shared" si="1"/>
        <v>439.99545452197572</v>
      </c>
      <c r="F54" s="7">
        <f t="shared" si="6"/>
        <v>60426.465768305534</v>
      </c>
      <c r="G54" s="2">
        <f t="shared" si="2"/>
        <v>102</v>
      </c>
      <c r="J54" s="2">
        <v>879.99090904395143</v>
      </c>
      <c r="K54" s="2">
        <f t="shared" si="3"/>
        <v>-439.99545452197572</v>
      </c>
      <c r="L54" s="2">
        <f t="shared" si="4"/>
        <v>439.99545452197572</v>
      </c>
    </row>
    <row r="55" spans="1:12" x14ac:dyDescent="0.25">
      <c r="A55">
        <v>53</v>
      </c>
      <c r="B55" s="1">
        <v>104</v>
      </c>
      <c r="C55" s="1">
        <v>888.10810152818669</v>
      </c>
      <c r="D55">
        <f t="shared" si="0"/>
        <v>-444.05405076409335</v>
      </c>
      <c r="E55">
        <f t="shared" si="1"/>
        <v>444.05405076409335</v>
      </c>
      <c r="F55" s="7">
        <f t="shared" si="6"/>
        <v>62194.56477887767</v>
      </c>
      <c r="G55" s="2">
        <f t="shared" si="2"/>
        <v>104</v>
      </c>
      <c r="J55" s="2">
        <v>888.10810152818669</v>
      </c>
      <c r="K55" s="2">
        <f t="shared" si="3"/>
        <v>-444.05405076409335</v>
      </c>
      <c r="L55" s="2">
        <f t="shared" si="4"/>
        <v>444.05405076409335</v>
      </c>
    </row>
    <row r="56" spans="1:12" x14ac:dyDescent="0.25">
      <c r="A56">
        <v>54</v>
      </c>
      <c r="B56" s="1">
        <v>106</v>
      </c>
      <c r="C56" s="1">
        <v>896.13391856351473</v>
      </c>
      <c r="D56">
        <f t="shared" si="0"/>
        <v>-448.06695928175736</v>
      </c>
      <c r="E56">
        <f t="shared" si="1"/>
        <v>448.06695928175736</v>
      </c>
      <c r="F56" s="7">
        <f t="shared" si="6"/>
        <v>63978.806798969374</v>
      </c>
      <c r="G56" s="2">
        <f t="shared" si="2"/>
        <v>106</v>
      </c>
      <c r="J56" s="2">
        <v>896.13391856351473</v>
      </c>
      <c r="K56" s="2">
        <f t="shared" si="3"/>
        <v>-448.06695928175736</v>
      </c>
      <c r="L56" s="2">
        <f t="shared" si="4"/>
        <v>448.06695928175736</v>
      </c>
    </row>
    <row r="57" spans="1:12" x14ac:dyDescent="0.25">
      <c r="A57">
        <v>55</v>
      </c>
      <c r="B57" s="1">
        <v>108</v>
      </c>
      <c r="C57" s="1">
        <v>904.07079368819348</v>
      </c>
      <c r="D57">
        <f t="shared" si="0"/>
        <v>-452.03539684409674</v>
      </c>
      <c r="E57">
        <f t="shared" si="1"/>
        <v>452.03539684409674</v>
      </c>
      <c r="F57" s="7">
        <f t="shared" si="6"/>
        <v>65779.011511221077</v>
      </c>
      <c r="G57" s="2">
        <f t="shared" si="2"/>
        <v>108</v>
      </c>
      <c r="J57" s="2">
        <v>904.07079368819348</v>
      </c>
      <c r="K57" s="2">
        <f t="shared" si="3"/>
        <v>-452.03539684409674</v>
      </c>
      <c r="L57" s="2">
        <f t="shared" si="4"/>
        <v>452.03539684409674</v>
      </c>
    </row>
    <row r="58" spans="1:12" x14ac:dyDescent="0.25">
      <c r="A58">
        <v>56</v>
      </c>
      <c r="B58" s="1">
        <v>110</v>
      </c>
      <c r="C58" s="1">
        <v>911.92104921423982</v>
      </c>
      <c r="D58">
        <f t="shared" si="0"/>
        <v>-455.96052460711991</v>
      </c>
      <c r="E58">
        <f t="shared" si="1"/>
        <v>455.96052460711991</v>
      </c>
      <c r="F58" s="7">
        <f t="shared" si="6"/>
        <v>67595.003354123517</v>
      </c>
      <c r="G58" s="2">
        <f t="shared" si="2"/>
        <v>110</v>
      </c>
      <c r="J58" s="2">
        <v>911.92104921423982</v>
      </c>
      <c r="K58" s="2">
        <f t="shared" si="3"/>
        <v>-455.96052460711991</v>
      </c>
      <c r="L58" s="2">
        <f t="shared" si="4"/>
        <v>455.96052460711991</v>
      </c>
    </row>
    <row r="59" spans="1:12" x14ac:dyDescent="0.25">
      <c r="A59">
        <v>57</v>
      </c>
      <c r="B59" s="1">
        <v>112</v>
      </c>
      <c r="C59" s="1">
        <v>919.68690324479451</v>
      </c>
      <c r="D59">
        <f t="shared" si="0"/>
        <v>-459.84345162239725</v>
      </c>
      <c r="E59">
        <f t="shared" si="1"/>
        <v>459.84345162239725</v>
      </c>
      <c r="F59" s="7">
        <f t="shared" si="6"/>
        <v>69426.611306582548</v>
      </c>
      <c r="G59" s="2">
        <f t="shared" si="2"/>
        <v>112</v>
      </c>
      <c r="J59" s="2">
        <v>919.68690324479451</v>
      </c>
      <c r="K59" s="2">
        <f t="shared" si="3"/>
        <v>-459.84345162239725</v>
      </c>
      <c r="L59" s="2">
        <f t="shared" si="4"/>
        <v>459.84345162239725</v>
      </c>
    </row>
    <row r="60" spans="1:12" x14ac:dyDescent="0.25">
      <c r="A60">
        <v>58</v>
      </c>
      <c r="B60" s="1">
        <v>114</v>
      </c>
      <c r="C60" s="1">
        <v>927.37047613130323</v>
      </c>
      <c r="D60">
        <f t="shared" si="0"/>
        <v>-463.68523806565162</v>
      </c>
      <c r="E60">
        <f t="shared" si="1"/>
        <v>463.68523806565162</v>
      </c>
      <c r="F60" s="7">
        <f t="shared" si="6"/>
        <v>71273.668685958648</v>
      </c>
      <c r="G60" s="2">
        <f t="shared" si="2"/>
        <v>114</v>
      </c>
      <c r="J60" s="2">
        <v>927.37047613130323</v>
      </c>
      <c r="K60" s="2">
        <f t="shared" si="3"/>
        <v>-463.68523806565162</v>
      </c>
      <c r="L60" s="2">
        <f t="shared" si="4"/>
        <v>463.68523806565162</v>
      </c>
    </row>
    <row r="61" spans="1:12" x14ac:dyDescent="0.25">
      <c r="A61">
        <v>59</v>
      </c>
      <c r="B61" s="1">
        <v>116</v>
      </c>
      <c r="C61" s="1">
        <v>934.97379642426347</v>
      </c>
      <c r="D61">
        <f t="shared" si="0"/>
        <v>-467.48689821213173</v>
      </c>
      <c r="E61">
        <f t="shared" si="1"/>
        <v>467.48689821213173</v>
      </c>
      <c r="F61" s="7">
        <f t="shared" si="6"/>
        <v>73136.012958514213</v>
      </c>
      <c r="G61" s="2">
        <f t="shared" si="2"/>
        <v>116</v>
      </c>
      <c r="J61" s="2">
        <v>934.97379642426347</v>
      </c>
      <c r="K61" s="2">
        <f t="shared" si="3"/>
        <v>-467.48689821213173</v>
      </c>
      <c r="L61" s="2">
        <f t="shared" si="4"/>
        <v>467.48689821213173</v>
      </c>
    </row>
    <row r="62" spans="1:12" x14ac:dyDescent="0.25">
      <c r="A62">
        <v>60</v>
      </c>
      <c r="B62" s="1">
        <v>118</v>
      </c>
      <c r="C62" s="1">
        <v>942.4988063652919</v>
      </c>
      <c r="D62">
        <f t="shared" si="0"/>
        <v>-471.24940318264595</v>
      </c>
      <c r="E62">
        <f t="shared" si="1"/>
        <v>471.24940318264595</v>
      </c>
      <c r="F62" s="7">
        <f t="shared" si="6"/>
        <v>75013.485561303765</v>
      </c>
      <c r="G62" s="2">
        <f t="shared" si="2"/>
        <v>118</v>
      </c>
      <c r="J62" s="2">
        <v>942.4988063652919</v>
      </c>
      <c r="K62" s="2">
        <f t="shared" si="3"/>
        <v>-471.24940318264595</v>
      </c>
      <c r="L62" s="2">
        <f t="shared" si="4"/>
        <v>471.24940318264595</v>
      </c>
    </row>
    <row r="63" spans="1:12" x14ac:dyDescent="0.25">
      <c r="A63">
        <v>61</v>
      </c>
      <c r="B63" s="1">
        <v>120</v>
      </c>
      <c r="C63" s="1">
        <v>949.94736696303335</v>
      </c>
      <c r="D63">
        <f t="shared" si="0"/>
        <v>-474.97368348151667</v>
      </c>
      <c r="E63">
        <f t="shared" si="1"/>
        <v>474.97368348151667</v>
      </c>
      <c r="F63" s="7">
        <f t="shared" si="6"/>
        <v>76905.93173463209</v>
      </c>
      <c r="G63" s="2">
        <f t="shared" si="2"/>
        <v>120</v>
      </c>
      <c r="J63" s="2">
        <v>949.94736696303335</v>
      </c>
      <c r="K63" s="2">
        <f t="shared" si="3"/>
        <v>-474.97368348151667</v>
      </c>
      <c r="L63" s="2">
        <f t="shared" si="4"/>
        <v>474.97368348151667</v>
      </c>
    </row>
    <row r="64" spans="1:12" x14ac:dyDescent="0.25">
      <c r="A64">
        <v>62</v>
      </c>
      <c r="B64" s="1">
        <v>122</v>
      </c>
      <c r="C64" s="1">
        <v>957.32126269084824</v>
      </c>
      <c r="D64">
        <f t="shared" si="0"/>
        <v>-478.66063134542412</v>
      </c>
      <c r="E64">
        <f t="shared" si="1"/>
        <v>478.66063134542412</v>
      </c>
      <c r="F64" s="7">
        <f t="shared" si="6"/>
        <v>78813.200364285978</v>
      </c>
      <c r="G64" s="2">
        <f t="shared" si="2"/>
        <v>122</v>
      </c>
      <c r="J64" s="2">
        <v>957.32126269084824</v>
      </c>
      <c r="K64" s="2">
        <f t="shared" si="3"/>
        <v>-478.66063134542412</v>
      </c>
      <c r="L64" s="2">
        <f t="shared" si="4"/>
        <v>478.66063134542412</v>
      </c>
    </row>
    <row r="65" spans="1:12" x14ac:dyDescent="0.25">
      <c r="A65">
        <v>63</v>
      </c>
      <c r="B65" s="1">
        <v>124</v>
      </c>
      <c r="C65" s="1">
        <v>964.62220584019315</v>
      </c>
      <c r="D65">
        <f t="shared" si="0"/>
        <v>-482.31110292009657</v>
      </c>
      <c r="E65">
        <f t="shared" si="1"/>
        <v>482.31110292009657</v>
      </c>
      <c r="F65" s="7">
        <f t="shared" si="6"/>
        <v>80735.143832817019</v>
      </c>
      <c r="G65" s="2">
        <f t="shared" si="2"/>
        <v>124</v>
      </c>
      <c r="J65" s="2">
        <v>964.62220584019315</v>
      </c>
      <c r="K65" s="2">
        <f t="shared" si="3"/>
        <v>-482.31110292009657</v>
      </c>
      <c r="L65" s="2">
        <f t="shared" si="4"/>
        <v>482.31110292009657</v>
      </c>
    </row>
    <row r="66" spans="1:12" x14ac:dyDescent="0.25">
      <c r="A66">
        <v>64</v>
      </c>
      <c r="B66" s="1">
        <v>126</v>
      </c>
      <c r="C66" s="1">
        <v>971.85184056007222</v>
      </c>
      <c r="D66">
        <f t="shared" si="0"/>
        <v>-485.92592028003611</v>
      </c>
      <c r="E66">
        <f t="shared" si="1"/>
        <v>485.92592028003611</v>
      </c>
      <c r="F66" s="7">
        <f t="shared" si="6"/>
        <v>82671.617879217287</v>
      </c>
      <c r="G66" s="2">
        <f t="shared" si="2"/>
        <v>126</v>
      </c>
      <c r="J66" s="2">
        <v>971.85184056007222</v>
      </c>
      <c r="K66" s="2">
        <f t="shared" si="3"/>
        <v>-485.92592028003611</v>
      </c>
      <c r="L66" s="2">
        <f t="shared" si="4"/>
        <v>485.92592028003611</v>
      </c>
    </row>
    <row r="67" spans="1:12" x14ac:dyDescent="0.25">
      <c r="A67">
        <v>65</v>
      </c>
      <c r="B67" s="1">
        <v>128</v>
      </c>
      <c r="C67" s="1">
        <v>979.01174660981474</v>
      </c>
      <c r="D67">
        <f t="shared" si="0"/>
        <v>-489.50587330490737</v>
      </c>
      <c r="E67">
        <f t="shared" si="1"/>
        <v>489.50587330490737</v>
      </c>
      <c r="F67" s="7">
        <f t="shared" si="6"/>
        <v>84622.48146638718</v>
      </c>
      <c r="G67" s="2">
        <f t="shared" si="2"/>
        <v>128</v>
      </c>
      <c r="J67" s="2">
        <v>979.01174660981474</v>
      </c>
      <c r="K67" s="2">
        <f t="shared" si="3"/>
        <v>-489.50587330490737</v>
      </c>
      <c r="L67" s="2">
        <f t="shared" si="4"/>
        <v>489.50587330490737</v>
      </c>
    </row>
    <row r="68" spans="1:12" x14ac:dyDescent="0.25">
      <c r="A68">
        <v>66</v>
      </c>
      <c r="B68" s="1">
        <v>130</v>
      </c>
      <c r="C68" s="1">
        <v>986.10344284968403</v>
      </c>
      <c r="D68">
        <f t="shared" ref="D68:D131" si="7">IF(A68&lt;=COUNT(B:B),-1*C68/2,NA())</f>
        <v>-493.05172142484201</v>
      </c>
      <c r="E68">
        <f t="shared" ref="E68:E131" si="8">IF(A68&lt;=COUNT(B:B),C68/2,NA())</f>
        <v>493.05172142484201</v>
      </c>
      <c r="F68" s="7">
        <f t="shared" si="6"/>
        <v>86587.596655846675</v>
      </c>
      <c r="G68" s="2">
        <f t="shared" ref="G68:G131" si="9">B68-$B$3</f>
        <v>130</v>
      </c>
      <c r="J68" s="2">
        <v>986.10344284968403</v>
      </c>
      <c r="K68" s="2">
        <f t="shared" ref="K68:K131" si="10">IF(A68&lt;=COUNT(B:B),$J68/2*-1,NA())</f>
        <v>-493.05172142484201</v>
      </c>
      <c r="L68" s="2">
        <f t="shared" ref="L68:L131" si="11">IF(A68&lt;=COUNT(B:B),$J68/2,NA())</f>
        <v>493.05172142484201</v>
      </c>
    </row>
    <row r="69" spans="1:12" x14ac:dyDescent="0.25">
      <c r="A69">
        <v>67</v>
      </c>
      <c r="B69" s="1">
        <v>132</v>
      </c>
      <c r="C69" s="1">
        <v>993.12839049138051</v>
      </c>
      <c r="D69">
        <f t="shared" si="7"/>
        <v>-496.56419524569026</v>
      </c>
      <c r="E69">
        <f t="shared" si="8"/>
        <v>496.56419524569026</v>
      </c>
      <c r="F69" s="7">
        <f t="shared" ref="F69:F132" si="12">IF(A68&lt;COUNT(B:B),(($C69+$C68)*(B69-B68)/2)+F68,"")</f>
        <v>88566.828489187741</v>
      </c>
      <c r="G69" s="2">
        <f t="shared" si="9"/>
        <v>132</v>
      </c>
      <c r="J69" s="2">
        <v>993.12839049138051</v>
      </c>
      <c r="K69" s="2">
        <f t="shared" si="10"/>
        <v>-496.56419524569026</v>
      </c>
      <c r="L69" s="2">
        <f t="shared" si="11"/>
        <v>496.56419524569026</v>
      </c>
    </row>
    <row r="70" spans="1:12" x14ac:dyDescent="0.25">
      <c r="A70">
        <v>68</v>
      </c>
      <c r="B70" s="1">
        <v>134</v>
      </c>
      <c r="C70" s="1">
        <v>1000.0879961283407</v>
      </c>
      <c r="D70">
        <f t="shared" si="7"/>
        <v>-500.04399806417035</v>
      </c>
      <c r="E70">
        <f t="shared" si="8"/>
        <v>500.04399806417035</v>
      </c>
      <c r="F70" s="7">
        <f t="shared" si="12"/>
        <v>90560.044875807464</v>
      </c>
      <c r="G70" s="2">
        <f t="shared" si="9"/>
        <v>134</v>
      </c>
      <c r="J70" s="2">
        <v>1000.0879961283407</v>
      </c>
      <c r="K70" s="2">
        <f t="shared" si="10"/>
        <v>-500.04399806417035</v>
      </c>
      <c r="L70" s="2">
        <f t="shared" si="11"/>
        <v>500.04399806417035</v>
      </c>
    </row>
    <row r="71" spans="1:12" x14ac:dyDescent="0.25">
      <c r="A71">
        <v>69</v>
      </c>
      <c r="B71" s="1">
        <v>136</v>
      </c>
      <c r="C71" s="1">
        <v>1006.983614563812</v>
      </c>
      <c r="D71">
        <f t="shared" si="7"/>
        <v>-503.49180728190601</v>
      </c>
      <c r="E71">
        <f t="shared" si="8"/>
        <v>503.49180728190601</v>
      </c>
      <c r="F71" s="7">
        <f t="shared" si="12"/>
        <v>92567.11648649961</v>
      </c>
      <c r="G71" s="2">
        <f t="shared" si="9"/>
        <v>136</v>
      </c>
      <c r="J71" s="2">
        <v>1006.983614563812</v>
      </c>
      <c r="K71" s="2">
        <f t="shared" si="10"/>
        <v>-503.49180728190601</v>
      </c>
      <c r="L71" s="2">
        <f t="shared" si="11"/>
        <v>503.49180728190601</v>
      </c>
    </row>
    <row r="72" spans="1:12" x14ac:dyDescent="0.25">
      <c r="A72">
        <v>70</v>
      </c>
      <c r="B72" s="1">
        <v>138</v>
      </c>
      <c r="C72" s="1">
        <v>1013.8165514529736</v>
      </c>
      <c r="D72">
        <f t="shared" si="7"/>
        <v>-506.90827572648681</v>
      </c>
      <c r="E72">
        <f t="shared" si="8"/>
        <v>506.90827572648681</v>
      </c>
      <c r="F72" s="7">
        <f t="shared" si="12"/>
        <v>94587.916652516389</v>
      </c>
      <c r="G72" s="2">
        <f t="shared" si="9"/>
        <v>138</v>
      </c>
      <c r="J72" s="2">
        <v>1013.8165514529736</v>
      </c>
      <c r="K72" s="2">
        <f t="shared" si="10"/>
        <v>-506.90827572648681</v>
      </c>
      <c r="L72" s="2">
        <f t="shared" si="11"/>
        <v>506.90827572648681</v>
      </c>
    </row>
    <row r="73" spans="1:12" x14ac:dyDescent="0.25">
      <c r="A73">
        <v>71</v>
      </c>
      <c r="B73" s="1">
        <v>140</v>
      </c>
      <c r="C73" s="1">
        <v>1020.5880657738459</v>
      </c>
      <c r="D73">
        <f t="shared" si="7"/>
        <v>-510.29403288692293</v>
      </c>
      <c r="E73">
        <f t="shared" si="8"/>
        <v>510.29403288692293</v>
      </c>
      <c r="F73" s="7">
        <f t="shared" si="12"/>
        <v>96622.321269743203</v>
      </c>
      <c r="G73" s="2">
        <f t="shared" si="9"/>
        <v>140</v>
      </c>
      <c r="J73" s="2">
        <v>1020.5880657738459</v>
      </c>
      <c r="K73" s="2">
        <f t="shared" si="10"/>
        <v>-510.29403288692293</v>
      </c>
      <c r="L73" s="2">
        <f t="shared" si="11"/>
        <v>510.29403288692293</v>
      </c>
    </row>
    <row r="74" spans="1:12" x14ac:dyDescent="0.25">
      <c r="A74">
        <v>72</v>
      </c>
      <c r="B74" s="1">
        <v>142</v>
      </c>
      <c r="C74" s="1">
        <v>1027.2993721403707</v>
      </c>
      <c r="D74">
        <f t="shared" si="7"/>
        <v>-513.64968607018534</v>
      </c>
      <c r="E74">
        <f t="shared" si="8"/>
        <v>513.64968607018534</v>
      </c>
      <c r="F74" s="7">
        <f t="shared" si="12"/>
        <v>98670.208707657424</v>
      </c>
      <c r="G74" s="2">
        <f t="shared" si="9"/>
        <v>142</v>
      </c>
      <c r="J74" s="2">
        <v>1027.2993721403707</v>
      </c>
      <c r="K74" s="2">
        <f t="shared" si="10"/>
        <v>-513.64968607018534</v>
      </c>
      <c r="L74" s="2">
        <f t="shared" si="11"/>
        <v>513.64968607018534</v>
      </c>
    </row>
    <row r="75" spans="1:12" x14ac:dyDescent="0.25">
      <c r="A75">
        <v>73</v>
      </c>
      <c r="B75" s="1">
        <v>144</v>
      </c>
      <c r="C75" s="1">
        <v>1033.9516429698247</v>
      </c>
      <c r="D75">
        <f t="shared" si="7"/>
        <v>-516.97582148491233</v>
      </c>
      <c r="E75">
        <f t="shared" si="8"/>
        <v>516.97582148491233</v>
      </c>
      <c r="F75" s="7">
        <f t="shared" si="12"/>
        <v>100731.45972276761</v>
      </c>
      <c r="G75" s="2">
        <f t="shared" si="9"/>
        <v>144</v>
      </c>
      <c r="J75" s="2">
        <v>1033.9516429698247</v>
      </c>
      <c r="K75" s="2">
        <f t="shared" si="10"/>
        <v>-516.97582148491233</v>
      </c>
      <c r="L75" s="2">
        <f t="shared" si="11"/>
        <v>516.97582148491233</v>
      </c>
    </row>
    <row r="76" spans="1:12" x14ac:dyDescent="0.25">
      <c r="A76">
        <v>74</v>
      </c>
      <c r="B76" s="1">
        <v>146</v>
      </c>
      <c r="C76" s="1">
        <v>1040.546010515633</v>
      </c>
      <c r="D76">
        <f t="shared" si="7"/>
        <v>-520.27300525781652</v>
      </c>
      <c r="E76">
        <f t="shared" si="8"/>
        <v>520.27300525781652</v>
      </c>
      <c r="F76" s="7">
        <f t="shared" si="12"/>
        <v>102805.95737625306</v>
      </c>
      <c r="G76" s="2">
        <f t="shared" si="9"/>
        <v>146</v>
      </c>
      <c r="J76" s="2">
        <v>1040.546010515633</v>
      </c>
      <c r="K76" s="2">
        <f t="shared" si="10"/>
        <v>-520.27300525781652</v>
      </c>
      <c r="L76" s="2">
        <f t="shared" si="11"/>
        <v>520.27300525781652</v>
      </c>
    </row>
    <row r="77" spans="1:12" x14ac:dyDescent="0.25">
      <c r="A77">
        <v>75</v>
      </c>
      <c r="B77" s="1">
        <v>148</v>
      </c>
      <c r="C77" s="1">
        <v>1047.0835687756733</v>
      </c>
      <c r="D77">
        <f t="shared" si="7"/>
        <v>-523.54178438783663</v>
      </c>
      <c r="E77">
        <f t="shared" si="8"/>
        <v>523.54178438783663</v>
      </c>
      <c r="F77" s="7">
        <f t="shared" si="12"/>
        <v>104893.58695554436</v>
      </c>
      <c r="G77" s="2">
        <f t="shared" si="9"/>
        <v>148</v>
      </c>
      <c r="J77" s="2">
        <v>1047.0835687756733</v>
      </c>
      <c r="K77" s="2">
        <f t="shared" si="10"/>
        <v>-523.54178438783663</v>
      </c>
      <c r="L77" s="2">
        <f t="shared" si="11"/>
        <v>523.54178438783663</v>
      </c>
    </row>
    <row r="78" spans="1:12" x14ac:dyDescent="0.25">
      <c r="A78">
        <v>76</v>
      </c>
      <c r="B78" s="1">
        <v>150</v>
      </c>
      <c r="C78" s="1">
        <v>1053.5653752852738</v>
      </c>
      <c r="D78">
        <f t="shared" si="7"/>
        <v>-526.78268764263692</v>
      </c>
      <c r="E78">
        <f t="shared" si="8"/>
        <v>526.78268764263692</v>
      </c>
      <c r="F78" s="7">
        <f t="shared" si="12"/>
        <v>106994.23589960531</v>
      </c>
      <c r="G78" s="2">
        <f t="shared" si="9"/>
        <v>150</v>
      </c>
      <c r="J78" s="2">
        <v>1053.5653752852738</v>
      </c>
      <c r="K78" s="2">
        <f t="shared" si="10"/>
        <v>-526.78268764263692</v>
      </c>
      <c r="L78" s="2">
        <f t="shared" si="11"/>
        <v>526.78268764263692</v>
      </c>
    </row>
    <row r="79" spans="1:12" x14ac:dyDescent="0.25">
      <c r="A79">
        <v>77</v>
      </c>
      <c r="B79" s="1">
        <v>152</v>
      </c>
      <c r="C79" s="1">
        <v>1059.9924528033207</v>
      </c>
      <c r="D79">
        <f t="shared" si="7"/>
        <v>-529.99622640166035</v>
      </c>
      <c r="E79">
        <f t="shared" si="8"/>
        <v>529.99622640166035</v>
      </c>
      <c r="F79" s="7">
        <f t="shared" si="12"/>
        <v>109107.7937276939</v>
      </c>
      <c r="G79" s="2">
        <f t="shared" si="9"/>
        <v>152</v>
      </c>
      <c r="J79" s="2">
        <v>1059.9924528033207</v>
      </c>
      <c r="K79" s="2">
        <f t="shared" si="10"/>
        <v>-529.99622640166035</v>
      </c>
      <c r="L79" s="2">
        <f t="shared" si="11"/>
        <v>529.99622640166035</v>
      </c>
    </row>
    <row r="80" spans="1:12" x14ac:dyDescent="0.25">
      <c r="A80">
        <v>78</v>
      </c>
      <c r="B80" s="1">
        <v>154</v>
      </c>
      <c r="C80" s="1">
        <v>1066.3657908991643</v>
      </c>
      <c r="D80">
        <f t="shared" si="7"/>
        <v>-533.18289544958213</v>
      </c>
      <c r="E80">
        <f t="shared" si="8"/>
        <v>533.18289544958213</v>
      </c>
      <c r="F80" s="7">
        <f t="shared" si="12"/>
        <v>111234.15197139639</v>
      </c>
      <c r="G80" s="2">
        <f t="shared" si="9"/>
        <v>154</v>
      </c>
      <c r="J80" s="2">
        <v>1066.3657908991643</v>
      </c>
      <c r="K80" s="2">
        <f t="shared" si="10"/>
        <v>-533.18289544958213</v>
      </c>
      <c r="L80" s="2">
        <f t="shared" si="11"/>
        <v>533.18289544958213</v>
      </c>
    </row>
    <row r="81" spans="1:12" x14ac:dyDescent="0.25">
      <c r="A81">
        <v>79</v>
      </c>
      <c r="B81" s="1">
        <v>156</v>
      </c>
      <c r="C81" s="1">
        <v>1072.6863474473794</v>
      </c>
      <c r="D81">
        <f t="shared" si="7"/>
        <v>-536.34317372368969</v>
      </c>
      <c r="E81">
        <f t="shared" si="8"/>
        <v>536.34317372368969</v>
      </c>
      <c r="F81" s="7">
        <f t="shared" si="12"/>
        <v>113373.20410974293</v>
      </c>
      <c r="G81" s="2">
        <f t="shared" si="9"/>
        <v>156</v>
      </c>
      <c r="J81" s="2">
        <v>1072.6863474473794</v>
      </c>
      <c r="K81" s="2">
        <f t="shared" si="10"/>
        <v>-536.34317372368969</v>
      </c>
      <c r="L81" s="2">
        <f t="shared" si="11"/>
        <v>536.34317372368969</v>
      </c>
    </row>
    <row r="82" spans="1:12" x14ac:dyDescent="0.25">
      <c r="A82">
        <v>80</v>
      </c>
      <c r="B82" s="1">
        <v>158</v>
      </c>
      <c r="C82" s="1">
        <v>1078.95505003684</v>
      </c>
      <c r="D82">
        <f t="shared" si="7"/>
        <v>-539.47752501842001</v>
      </c>
      <c r="E82">
        <f t="shared" si="8"/>
        <v>539.47752501842001</v>
      </c>
      <c r="F82" s="7">
        <f t="shared" si="12"/>
        <v>115524.84550722715</v>
      </c>
      <c r="G82" s="2">
        <f t="shared" si="9"/>
        <v>158</v>
      </c>
      <c r="J82" s="2">
        <v>1078.95505003684</v>
      </c>
      <c r="K82" s="2">
        <f t="shared" si="10"/>
        <v>-539.47752501842001</v>
      </c>
      <c r="L82" s="2">
        <f t="shared" si="11"/>
        <v>539.47752501842001</v>
      </c>
    </row>
    <row r="83" spans="1:12" x14ac:dyDescent="0.25">
      <c r="A83">
        <v>81</v>
      </c>
      <c r="B83" s="1">
        <v>160</v>
      </c>
      <c r="C83" s="1">
        <v>1085.1727973000429</v>
      </c>
      <c r="D83">
        <f t="shared" si="7"/>
        <v>-542.58639865002147</v>
      </c>
      <c r="E83">
        <f t="shared" si="8"/>
        <v>542.58639865002147</v>
      </c>
      <c r="F83" s="7">
        <f t="shared" si="12"/>
        <v>117688.97335456403</v>
      </c>
      <c r="G83" s="2">
        <f t="shared" si="9"/>
        <v>160</v>
      </c>
      <c r="J83" s="2">
        <v>1085.1727973000429</v>
      </c>
      <c r="K83" s="2">
        <f t="shared" si="10"/>
        <v>-542.58639865002147</v>
      </c>
      <c r="L83" s="2">
        <f t="shared" si="11"/>
        <v>542.58639865002147</v>
      </c>
    </row>
    <row r="84" spans="1:12" x14ac:dyDescent="0.25">
      <c r="A84">
        <v>82</v>
      </c>
      <c r="B84" s="1">
        <v>162</v>
      </c>
      <c r="C84" s="1">
        <v>1091.3404601681366</v>
      </c>
      <c r="D84">
        <f t="shared" si="7"/>
        <v>-545.67023008406829</v>
      </c>
      <c r="E84">
        <f t="shared" si="8"/>
        <v>545.67023008406829</v>
      </c>
      <c r="F84" s="7">
        <f t="shared" si="12"/>
        <v>119865.48661203221</v>
      </c>
      <c r="G84" s="2">
        <f t="shared" si="9"/>
        <v>162</v>
      </c>
      <c r="J84" s="2">
        <v>1091.3404601681366</v>
      </c>
      <c r="K84" s="2">
        <f t="shared" si="10"/>
        <v>-545.67023008406829</v>
      </c>
      <c r="L84" s="2">
        <f t="shared" si="11"/>
        <v>545.67023008406829</v>
      </c>
    </row>
    <row r="85" spans="1:12" x14ac:dyDescent="0.25">
      <c r="A85">
        <v>83</v>
      </c>
      <c r="B85" s="1">
        <v>164</v>
      </c>
      <c r="C85" s="1">
        <v>1097.4588830566729</v>
      </c>
      <c r="D85">
        <f t="shared" si="7"/>
        <v>-548.72944152833645</v>
      </c>
      <c r="E85">
        <f t="shared" si="8"/>
        <v>548.72944152833645</v>
      </c>
      <c r="F85" s="7">
        <f t="shared" si="12"/>
        <v>122054.28595525702</v>
      </c>
      <c r="G85" s="2">
        <f t="shared" si="9"/>
        <v>164</v>
      </c>
      <c r="J85" s="2">
        <v>1097.4588830566729</v>
      </c>
      <c r="K85" s="2">
        <f t="shared" si="10"/>
        <v>-548.72944152833645</v>
      </c>
      <c r="L85" s="2">
        <f t="shared" si="11"/>
        <v>548.72944152833645</v>
      </c>
    </row>
    <row r="86" spans="1:12" x14ac:dyDescent="0.25">
      <c r="A86">
        <v>84</v>
      </c>
      <c r="B86" s="1">
        <v>166</v>
      </c>
      <c r="C86" s="1">
        <v>1103.5288849867047</v>
      </c>
      <c r="D86">
        <f t="shared" si="7"/>
        <v>-551.76444249335236</v>
      </c>
      <c r="E86">
        <f t="shared" si="8"/>
        <v>551.76444249335236</v>
      </c>
      <c r="F86" s="7">
        <f t="shared" si="12"/>
        <v>124255.27372330039</v>
      </c>
      <c r="G86" s="2">
        <f t="shared" si="9"/>
        <v>166</v>
      </c>
      <c r="J86" s="2">
        <v>1103.5288849867047</v>
      </c>
      <c r="K86" s="2">
        <f t="shared" si="10"/>
        <v>-551.76444249335236</v>
      </c>
      <c r="L86" s="2">
        <f t="shared" si="11"/>
        <v>551.76444249335236</v>
      </c>
    </row>
    <row r="87" spans="1:12" x14ac:dyDescent="0.25">
      <c r="A87">
        <v>85</v>
      </c>
      <c r="B87" s="1">
        <v>168</v>
      </c>
      <c r="C87" s="1">
        <v>1109.5512606454918</v>
      </c>
      <c r="D87">
        <f t="shared" si="7"/>
        <v>-554.77563032274588</v>
      </c>
      <c r="E87">
        <f t="shared" si="8"/>
        <v>554.77563032274588</v>
      </c>
      <c r="F87" s="7">
        <f t="shared" si="12"/>
        <v>126468.35386893258</v>
      </c>
      <c r="G87" s="2">
        <f t="shared" si="9"/>
        <v>168</v>
      </c>
      <c r="J87" s="2">
        <v>1109.5512606454918</v>
      </c>
      <c r="K87" s="2">
        <f t="shared" si="10"/>
        <v>-554.77563032274588</v>
      </c>
      <c r="L87" s="2">
        <f t="shared" si="11"/>
        <v>554.77563032274588</v>
      </c>
    </row>
    <row r="88" spans="1:12" x14ac:dyDescent="0.25">
      <c r="A88">
        <v>86</v>
      </c>
      <c r="B88" s="1">
        <v>170</v>
      </c>
      <c r="C88" s="1">
        <v>1115.5267813907471</v>
      </c>
      <c r="D88">
        <f t="shared" si="7"/>
        <v>-557.76339069537357</v>
      </c>
      <c r="E88">
        <f t="shared" si="8"/>
        <v>557.76339069537357</v>
      </c>
      <c r="F88" s="7">
        <f t="shared" si="12"/>
        <v>128693.43191096882</v>
      </c>
      <c r="G88" s="2">
        <f t="shared" si="9"/>
        <v>170</v>
      </c>
      <c r="J88" s="2">
        <v>1115.5267813907471</v>
      </c>
      <c r="K88" s="2">
        <f t="shared" si="10"/>
        <v>-557.76339069537357</v>
      </c>
      <c r="L88" s="2">
        <f t="shared" si="11"/>
        <v>557.76339069537357</v>
      </c>
    </row>
    <row r="89" spans="1:12" x14ac:dyDescent="0.25">
      <c r="A89">
        <v>87</v>
      </c>
      <c r="B89" s="1">
        <v>172</v>
      </c>
      <c r="C89" s="1">
        <v>1121.456196202063</v>
      </c>
      <c r="D89">
        <f t="shared" si="7"/>
        <v>-560.72809810103149</v>
      </c>
      <c r="E89">
        <f t="shared" si="8"/>
        <v>560.72809810103149</v>
      </c>
      <c r="F89" s="7">
        <f t="shared" si="12"/>
        <v>130930.41488856163</v>
      </c>
      <c r="G89" s="2">
        <f t="shared" si="9"/>
        <v>172</v>
      </c>
      <c r="J89" s="2">
        <v>1121.456196202063</v>
      </c>
      <c r="K89" s="2">
        <f t="shared" si="10"/>
        <v>-560.72809810103149</v>
      </c>
      <c r="L89" s="2">
        <f t="shared" si="11"/>
        <v>560.72809810103149</v>
      </c>
    </row>
    <row r="90" spans="1:12" x14ac:dyDescent="0.25">
      <c r="A90">
        <v>88</v>
      </c>
      <c r="B90" s="1">
        <v>174</v>
      </c>
      <c r="C90" s="1">
        <v>1127.3402325828702</v>
      </c>
      <c r="D90">
        <f t="shared" si="7"/>
        <v>-563.67011629143508</v>
      </c>
      <c r="E90">
        <f t="shared" si="8"/>
        <v>563.67011629143508</v>
      </c>
      <c r="F90" s="7">
        <f t="shared" si="12"/>
        <v>133179.21131734658</v>
      </c>
      <c r="G90" s="2">
        <f t="shared" si="9"/>
        <v>174</v>
      </c>
      <c r="J90" s="2">
        <v>1127.3402325828702</v>
      </c>
      <c r="K90" s="2">
        <f t="shared" si="10"/>
        <v>-563.67011629143508</v>
      </c>
      <c r="L90" s="2">
        <f t="shared" si="11"/>
        <v>563.67011629143508</v>
      </c>
    </row>
    <row r="91" spans="1:12" x14ac:dyDescent="0.25">
      <c r="A91">
        <v>89</v>
      </c>
      <c r="B91" s="1">
        <v>176</v>
      </c>
      <c r="C91" s="1">
        <v>1133.1795974160495</v>
      </c>
      <c r="D91">
        <f t="shared" si="7"/>
        <v>-566.58979870802477</v>
      </c>
      <c r="E91">
        <f t="shared" si="8"/>
        <v>566.58979870802477</v>
      </c>
      <c r="F91" s="7">
        <f t="shared" si="12"/>
        <v>135439.7311473455</v>
      </c>
      <c r="G91" s="2">
        <f t="shared" si="9"/>
        <v>176</v>
      </c>
      <c r="J91" s="2">
        <v>1133.1795974160495</v>
      </c>
      <c r="K91" s="2">
        <f t="shared" si="10"/>
        <v>-566.58979870802477</v>
      </c>
      <c r="L91" s="2">
        <f t="shared" si="11"/>
        <v>566.58979870802477</v>
      </c>
    </row>
    <row r="92" spans="1:12" x14ac:dyDescent="0.25">
      <c r="A92">
        <v>90</v>
      </c>
      <c r="B92" s="1">
        <v>178</v>
      </c>
      <c r="C92" s="1">
        <v>1138.9749777760703</v>
      </c>
      <c r="D92">
        <f t="shared" si="7"/>
        <v>-569.48748888803516</v>
      </c>
      <c r="E92">
        <f t="shared" si="8"/>
        <v>569.48748888803516</v>
      </c>
      <c r="F92" s="7">
        <f t="shared" si="12"/>
        <v>137711.88572253761</v>
      </c>
      <c r="G92" s="2">
        <f t="shared" si="9"/>
        <v>178</v>
      </c>
      <c r="J92" s="2">
        <v>1138.9749777760703</v>
      </c>
      <c r="K92" s="2">
        <f t="shared" si="10"/>
        <v>-569.48748888803516</v>
      </c>
      <c r="L92" s="2">
        <f t="shared" si="11"/>
        <v>569.48748888803516</v>
      </c>
    </row>
    <row r="93" spans="1:12" x14ac:dyDescent="0.25">
      <c r="A93">
        <v>91</v>
      </c>
      <c r="B93" s="1">
        <v>180</v>
      </c>
      <c r="C93" s="1">
        <v>1144.7270417003347</v>
      </c>
      <c r="D93">
        <f t="shared" si="7"/>
        <v>-572.36352085016733</v>
      </c>
      <c r="E93">
        <f t="shared" si="8"/>
        <v>572.36352085016733</v>
      </c>
      <c r="F93" s="7">
        <f t="shared" si="12"/>
        <v>139995.58774201403</v>
      </c>
      <c r="G93" s="2">
        <f t="shared" si="9"/>
        <v>180</v>
      </c>
      <c r="J93" s="2">
        <v>1144.7270417003347</v>
      </c>
      <c r="K93" s="2">
        <f t="shared" si="10"/>
        <v>-572.36352085016733</v>
      </c>
      <c r="L93" s="2">
        <f t="shared" si="11"/>
        <v>572.36352085016733</v>
      </c>
    </row>
    <row r="94" spans="1:12" x14ac:dyDescent="0.25">
      <c r="A94">
        <v>92</v>
      </c>
      <c r="B94" s="1">
        <v>182</v>
      </c>
      <c r="C94" s="1">
        <v>1150.436438922203</v>
      </c>
      <c r="D94">
        <f t="shared" si="7"/>
        <v>-575.21821946110151</v>
      </c>
      <c r="E94">
        <f t="shared" si="8"/>
        <v>575.21821946110151</v>
      </c>
      <c r="F94" s="7">
        <f t="shared" si="12"/>
        <v>142290.75122263658</v>
      </c>
      <c r="G94" s="2">
        <f t="shared" si="9"/>
        <v>182</v>
      </c>
      <c r="J94" s="2">
        <v>1150.436438922203</v>
      </c>
      <c r="K94" s="2">
        <f t="shared" si="10"/>
        <v>-575.21821946110151</v>
      </c>
      <c r="L94" s="2">
        <f t="shared" si="11"/>
        <v>575.21821946110151</v>
      </c>
    </row>
    <row r="95" spans="1:12" x14ac:dyDescent="0.25">
      <c r="A95">
        <v>93</v>
      </c>
      <c r="B95" s="1">
        <v>184</v>
      </c>
      <c r="C95" s="1">
        <v>1156.1038015680081</v>
      </c>
      <c r="D95">
        <f t="shared" si="7"/>
        <v>-578.05190078400403</v>
      </c>
      <c r="E95">
        <f t="shared" si="8"/>
        <v>578.05190078400403</v>
      </c>
      <c r="F95" s="7">
        <f t="shared" si="12"/>
        <v>144597.29146312678</v>
      </c>
      <c r="G95" s="2">
        <f t="shared" si="9"/>
        <v>184</v>
      </c>
      <c r="J95" s="2">
        <v>1156.1038015680081</v>
      </c>
      <c r="K95" s="2">
        <f t="shared" si="10"/>
        <v>-578.05190078400403</v>
      </c>
      <c r="L95" s="2">
        <f t="shared" si="11"/>
        <v>578.05190078400403</v>
      </c>
    </row>
    <row r="96" spans="1:12" x14ac:dyDescent="0.25">
      <c r="A96">
        <v>94</v>
      </c>
      <c r="B96" s="1">
        <v>186</v>
      </c>
      <c r="C96" s="1">
        <v>1161.7297448201971</v>
      </c>
      <c r="D96">
        <f t="shared" si="7"/>
        <v>-580.86487241009854</v>
      </c>
      <c r="E96">
        <f t="shared" si="8"/>
        <v>580.86487241009854</v>
      </c>
      <c r="F96" s="7">
        <f t="shared" si="12"/>
        <v>146915.12500951497</v>
      </c>
      <c r="G96" s="2">
        <f t="shared" si="9"/>
        <v>186</v>
      </c>
      <c r="J96" s="2">
        <v>1161.7297448201971</v>
      </c>
      <c r="K96" s="2">
        <f t="shared" si="10"/>
        <v>-580.86487241009854</v>
      </c>
      <c r="L96" s="2">
        <f t="shared" si="11"/>
        <v>580.86487241009854</v>
      </c>
    </row>
    <row r="97" spans="1:12" x14ac:dyDescent="0.25">
      <c r="A97">
        <v>95</v>
      </c>
      <c r="B97" s="1">
        <v>188</v>
      </c>
      <c r="C97" s="1">
        <v>1167.3148675485977</v>
      </c>
      <c r="D97">
        <f t="shared" si="7"/>
        <v>-583.65743377429885</v>
      </c>
      <c r="E97">
        <f t="shared" si="8"/>
        <v>583.65743377429885</v>
      </c>
      <c r="F97" s="7">
        <f t="shared" si="12"/>
        <v>149244.16962188378</v>
      </c>
      <c r="G97" s="2">
        <f t="shared" si="9"/>
        <v>188</v>
      </c>
      <c r="J97" s="2">
        <v>1167.3148675485977</v>
      </c>
      <c r="K97" s="2">
        <f t="shared" si="10"/>
        <v>-583.65743377429885</v>
      </c>
      <c r="L97" s="2">
        <f t="shared" si="11"/>
        <v>583.65743377429885</v>
      </c>
    </row>
    <row r="98" spans="1:12" x14ac:dyDescent="0.25">
      <c r="A98">
        <v>96</v>
      </c>
      <c r="B98" s="1">
        <v>190</v>
      </c>
      <c r="C98" s="1">
        <v>1172.8597529116598</v>
      </c>
      <c r="D98">
        <f t="shared" si="7"/>
        <v>-586.42987645582991</v>
      </c>
      <c r="E98">
        <f t="shared" si="8"/>
        <v>586.42987645582991</v>
      </c>
      <c r="F98" s="7">
        <f t="shared" si="12"/>
        <v>151584.34424234403</v>
      </c>
      <c r="G98" s="2">
        <f t="shared" si="9"/>
        <v>190</v>
      </c>
      <c r="J98" s="2">
        <v>1172.8597529116598</v>
      </c>
      <c r="K98" s="2">
        <f t="shared" si="10"/>
        <v>-586.42987645582991</v>
      </c>
      <c r="L98" s="2">
        <f t="shared" si="11"/>
        <v>586.42987645582991</v>
      </c>
    </row>
    <row r="99" spans="1:12" x14ac:dyDescent="0.25">
      <c r="A99">
        <v>97</v>
      </c>
      <c r="B99" s="1">
        <v>192</v>
      </c>
      <c r="C99" s="1">
        <v>1178.3649689294059</v>
      </c>
      <c r="D99">
        <f t="shared" si="7"/>
        <v>-589.18248446470295</v>
      </c>
      <c r="E99">
        <f t="shared" si="8"/>
        <v>589.18248446470295</v>
      </c>
      <c r="F99" s="7">
        <f t="shared" si="12"/>
        <v>153935.56896418511</v>
      </c>
      <c r="G99" s="2">
        <f t="shared" si="9"/>
        <v>192</v>
      </c>
      <c r="J99" s="2">
        <v>1178.3649689294059</v>
      </c>
      <c r="K99" s="2">
        <f t="shared" si="10"/>
        <v>-589.18248446470295</v>
      </c>
      <c r="L99" s="2">
        <f t="shared" si="11"/>
        <v>589.18248446470295</v>
      </c>
    </row>
    <row r="100" spans="1:12" x14ac:dyDescent="0.25">
      <c r="A100">
        <v>98</v>
      </c>
      <c r="B100" s="1">
        <v>194</v>
      </c>
      <c r="C100" s="1">
        <v>1183.8310690296989</v>
      </c>
      <c r="D100">
        <f t="shared" si="7"/>
        <v>-591.91553451484947</v>
      </c>
      <c r="E100">
        <f t="shared" si="8"/>
        <v>591.91553451484947</v>
      </c>
      <c r="F100" s="7">
        <f t="shared" si="12"/>
        <v>156297.76500214421</v>
      </c>
      <c r="G100" s="2">
        <f t="shared" si="9"/>
        <v>194</v>
      </c>
      <c r="J100" s="2">
        <v>1183.8310690296989</v>
      </c>
      <c r="K100" s="2">
        <f t="shared" si="10"/>
        <v>-591.91553451484947</v>
      </c>
      <c r="L100" s="2">
        <f t="shared" si="11"/>
        <v>591.91553451484947</v>
      </c>
    </row>
    <row r="101" spans="1:12" x14ac:dyDescent="0.25">
      <c r="A101">
        <v>99</v>
      </c>
      <c r="B101" s="1">
        <v>196</v>
      </c>
      <c r="C101" s="1">
        <v>1189.2585925693368</v>
      </c>
      <c r="D101">
        <f t="shared" si="7"/>
        <v>-594.62929628466838</v>
      </c>
      <c r="E101">
        <f t="shared" si="8"/>
        <v>594.62929628466838</v>
      </c>
      <c r="F101" s="7">
        <f t="shared" si="12"/>
        <v>158670.85466374326</v>
      </c>
      <c r="G101" s="2">
        <f t="shared" si="9"/>
        <v>196</v>
      </c>
      <c r="J101" s="2">
        <v>1189.2585925693368</v>
      </c>
      <c r="K101" s="2">
        <f t="shared" si="10"/>
        <v>-594.62929628466838</v>
      </c>
      <c r="L101" s="2">
        <f t="shared" si="11"/>
        <v>594.62929628466838</v>
      </c>
    </row>
    <row r="102" spans="1:12" x14ac:dyDescent="0.25">
      <c r="A102">
        <v>100</v>
      </c>
      <c r="B102" s="1">
        <v>198</v>
      </c>
      <c r="C102" s="1">
        <v>1194.6480653313761</v>
      </c>
      <c r="D102">
        <f t="shared" si="7"/>
        <v>-597.32403266568804</v>
      </c>
      <c r="E102">
        <f t="shared" si="8"/>
        <v>597.32403266568804</v>
      </c>
      <c r="F102" s="7">
        <f t="shared" si="12"/>
        <v>161054.76132164398</v>
      </c>
      <c r="G102" s="2">
        <f t="shared" si="9"/>
        <v>198</v>
      </c>
      <c r="J102" s="2">
        <v>1194.6480653313761</v>
      </c>
      <c r="K102" s="2">
        <f t="shared" si="10"/>
        <v>-597.32403266568804</v>
      </c>
      <c r="L102" s="2">
        <f t="shared" si="11"/>
        <v>597.32403266568804</v>
      </c>
    </row>
    <row r="103" spans="1:12" x14ac:dyDescent="0.25">
      <c r="A103">
        <v>101</v>
      </c>
      <c r="B103" s="1">
        <v>200</v>
      </c>
      <c r="C103" s="1">
        <v>1200</v>
      </c>
      <c r="D103">
        <f t="shared" si="7"/>
        <v>-600</v>
      </c>
      <c r="E103">
        <f t="shared" si="8"/>
        <v>600</v>
      </c>
      <c r="F103" s="7">
        <f t="shared" si="12"/>
        <v>163449.40938697534</v>
      </c>
      <c r="G103" s="2">
        <f t="shared" si="9"/>
        <v>200</v>
      </c>
      <c r="J103" s="2">
        <v>1200</v>
      </c>
      <c r="K103" s="2">
        <f t="shared" si="10"/>
        <v>-600</v>
      </c>
      <c r="L103" s="2">
        <f t="shared" si="11"/>
        <v>600</v>
      </c>
    </row>
    <row r="104" spans="1:12" x14ac:dyDescent="0.25">
      <c r="A104">
        <v>102</v>
      </c>
      <c r="B104" s="1">
        <v>202</v>
      </c>
      <c r="C104" s="1">
        <v>1205.3148966141587</v>
      </c>
      <c r="D104">
        <f t="shared" si="7"/>
        <v>-602.65744830707933</v>
      </c>
      <c r="E104">
        <f t="shared" si="8"/>
        <v>602.65744830707933</v>
      </c>
      <c r="F104" s="7">
        <f t="shared" si="12"/>
        <v>165854.72428358949</v>
      </c>
      <c r="G104" s="2">
        <f t="shared" si="9"/>
        <v>202</v>
      </c>
      <c r="J104" s="2">
        <v>1205.3148966141587</v>
      </c>
      <c r="K104" s="2">
        <f t="shared" si="10"/>
        <v>-602.65744830707933</v>
      </c>
      <c r="L104" s="2">
        <f t="shared" si="11"/>
        <v>602.65744830707933</v>
      </c>
    </row>
    <row r="105" spans="1:12" x14ac:dyDescent="0.25">
      <c r="A105">
        <v>103</v>
      </c>
      <c r="B105" s="1">
        <v>204</v>
      </c>
      <c r="C105" s="1">
        <v>1210.5932430011328</v>
      </c>
      <c r="D105">
        <f t="shared" si="7"/>
        <v>-605.2966215005664</v>
      </c>
      <c r="E105">
        <f t="shared" si="8"/>
        <v>605.2966215005664</v>
      </c>
      <c r="F105" s="7">
        <f t="shared" si="12"/>
        <v>168270.63242320478</v>
      </c>
      <c r="G105" s="2">
        <f t="shared" si="9"/>
        <v>204</v>
      </c>
      <c r="J105" s="2">
        <v>1210.5932430011328</v>
      </c>
      <c r="K105" s="2">
        <f t="shared" si="10"/>
        <v>-605.2966215005664</v>
      </c>
      <c r="L105" s="2">
        <f t="shared" si="11"/>
        <v>605.2966215005664</v>
      </c>
    </row>
    <row r="106" spans="1:12" x14ac:dyDescent="0.25">
      <c r="A106">
        <v>104</v>
      </c>
      <c r="B106" s="1">
        <v>206</v>
      </c>
      <c r="C106" s="1">
        <v>1215.8355151910969</v>
      </c>
      <c r="D106">
        <f t="shared" si="7"/>
        <v>-607.91775759554844</v>
      </c>
      <c r="E106">
        <f t="shared" si="8"/>
        <v>607.91775759554844</v>
      </c>
      <c r="F106" s="7">
        <f t="shared" si="12"/>
        <v>170697.061181397</v>
      </c>
      <c r="G106" s="2">
        <f t="shared" si="9"/>
        <v>206</v>
      </c>
      <c r="J106" s="2">
        <v>1215.8355151910969</v>
      </c>
      <c r="K106" s="2">
        <f t="shared" si="10"/>
        <v>-607.91775759554844</v>
      </c>
      <c r="L106" s="2">
        <f t="shared" si="11"/>
        <v>607.91775759554844</v>
      </c>
    </row>
    <row r="107" spans="1:12" x14ac:dyDescent="0.25">
      <c r="A107">
        <v>105</v>
      </c>
      <c r="B107" s="1">
        <v>208</v>
      </c>
      <c r="C107" s="1">
        <v>1221.0421778136904</v>
      </c>
      <c r="D107">
        <f t="shared" si="7"/>
        <v>-610.52108890684519</v>
      </c>
      <c r="E107">
        <f t="shared" si="8"/>
        <v>610.52108890684519</v>
      </c>
      <c r="F107" s="7">
        <f t="shared" si="12"/>
        <v>173133.93887440179</v>
      </c>
      <c r="G107" s="2">
        <f t="shared" si="9"/>
        <v>208</v>
      </c>
      <c r="J107" s="2">
        <v>1221.0421778136904</v>
      </c>
      <c r="K107" s="2">
        <f t="shared" si="10"/>
        <v>-610.52108890684519</v>
      </c>
      <c r="L107" s="2">
        <f t="shared" si="11"/>
        <v>610.52108890684519</v>
      </c>
    </row>
    <row r="108" spans="1:12" x14ac:dyDescent="0.25">
      <c r="A108">
        <v>106</v>
      </c>
      <c r="B108" s="1">
        <v>210</v>
      </c>
      <c r="C108" s="1">
        <v>1226.2136844775466</v>
      </c>
      <c r="D108">
        <f t="shared" si="7"/>
        <v>-613.10684223877331</v>
      </c>
      <c r="E108">
        <f t="shared" si="8"/>
        <v>613.10684223877331</v>
      </c>
      <c r="F108" s="7">
        <f t="shared" si="12"/>
        <v>175581.19473669303</v>
      </c>
      <c r="G108" s="2">
        <f t="shared" si="9"/>
        <v>210</v>
      </c>
      <c r="J108" s="2">
        <v>1226.2136844775466</v>
      </c>
      <c r="K108" s="2">
        <f t="shared" si="10"/>
        <v>-613.10684223877331</v>
      </c>
      <c r="L108" s="2">
        <f t="shared" si="11"/>
        <v>613.10684223877331</v>
      </c>
    </row>
    <row r="109" spans="1:12" x14ac:dyDescent="0.25">
      <c r="A109">
        <v>107</v>
      </c>
      <c r="B109" s="1">
        <v>212</v>
      </c>
      <c r="C109" s="1">
        <v>1231.3504781336628</v>
      </c>
      <c r="D109">
        <f t="shared" si="7"/>
        <v>-615.67523906683141</v>
      </c>
      <c r="E109">
        <f t="shared" si="8"/>
        <v>615.67523906683141</v>
      </c>
      <c r="F109" s="7">
        <f t="shared" si="12"/>
        <v>178038.75889930423</v>
      </c>
      <c r="G109" s="2">
        <f t="shared" si="9"/>
        <v>212</v>
      </c>
      <c r="J109" s="2">
        <v>1231.3504781336628</v>
      </c>
      <c r="K109" s="2">
        <f t="shared" si="10"/>
        <v>-615.67523906683141</v>
      </c>
      <c r="L109" s="2">
        <f t="shared" si="11"/>
        <v>615.67523906683141</v>
      </c>
    </row>
    <row r="110" spans="1:12" x14ac:dyDescent="0.25">
      <c r="A110">
        <v>108</v>
      </c>
      <c r="B110" s="1">
        <v>214</v>
      </c>
      <c r="C110" s="1">
        <v>1236.4529914234508</v>
      </c>
      <c r="D110">
        <f t="shared" si="7"/>
        <v>-618.22649571172542</v>
      </c>
      <c r="E110">
        <f t="shared" si="8"/>
        <v>618.22649571172542</v>
      </c>
      <c r="F110" s="7">
        <f t="shared" si="12"/>
        <v>180506.56236886134</v>
      </c>
      <c r="G110" s="2">
        <f t="shared" si="9"/>
        <v>214</v>
      </c>
      <c r="J110" s="2">
        <v>1236.4529914234508</v>
      </c>
      <c r="K110" s="2">
        <f t="shared" si="10"/>
        <v>-618.22649571172542</v>
      </c>
      <c r="L110" s="2">
        <f t="shared" si="11"/>
        <v>618.22649571172542</v>
      </c>
    </row>
    <row r="111" spans="1:12" x14ac:dyDescent="0.25">
      <c r="A111">
        <v>109</v>
      </c>
      <c r="B111" s="1">
        <v>216</v>
      </c>
      <c r="C111" s="1">
        <v>1241.5216470122459</v>
      </c>
      <c r="D111">
        <f t="shared" si="7"/>
        <v>-620.76082350612296</v>
      </c>
      <c r="E111">
        <f t="shared" si="8"/>
        <v>620.76082350612296</v>
      </c>
      <c r="F111" s="7">
        <f t="shared" si="12"/>
        <v>182984.53700729704</v>
      </c>
      <c r="G111" s="2">
        <f t="shared" si="9"/>
        <v>216</v>
      </c>
      <c r="J111" s="2">
        <v>1241.5216470122459</v>
      </c>
      <c r="K111" s="2">
        <f t="shared" si="10"/>
        <v>-620.76082350612296</v>
      </c>
      <c r="L111" s="2">
        <f t="shared" si="11"/>
        <v>620.76082350612296</v>
      </c>
    </row>
    <row r="112" spans="1:12" x14ac:dyDescent="0.25">
      <c r="A112">
        <v>110</v>
      </c>
      <c r="B112" s="1">
        <v>218</v>
      </c>
      <c r="C112" s="1">
        <v>1246.5568579090166</v>
      </c>
      <c r="D112">
        <f t="shared" si="7"/>
        <v>-623.27842895450829</v>
      </c>
      <c r="E112">
        <f t="shared" si="8"/>
        <v>623.27842895450829</v>
      </c>
      <c r="F112" s="7">
        <f t="shared" si="12"/>
        <v>185472.6155122183</v>
      </c>
      <c r="G112" s="2">
        <f t="shared" si="9"/>
        <v>218</v>
      </c>
      <c r="J112" s="2">
        <v>1246.5568579090166</v>
      </c>
      <c r="K112" s="2">
        <f t="shared" si="10"/>
        <v>-623.27842895450829</v>
      </c>
      <c r="L112" s="2">
        <f t="shared" si="11"/>
        <v>623.27842895450829</v>
      </c>
    </row>
    <row r="113" spans="1:12" x14ac:dyDescent="0.25">
      <c r="A113">
        <v>111</v>
      </c>
      <c r="B113" s="1">
        <v>220</v>
      </c>
      <c r="C113" s="1">
        <v>1251.5590277729611</v>
      </c>
      <c r="D113">
        <f t="shared" si="7"/>
        <v>-625.77951388648057</v>
      </c>
      <c r="E113">
        <f t="shared" si="8"/>
        <v>625.77951388648057</v>
      </c>
      <c r="F113" s="7">
        <f t="shared" si="12"/>
        <v>187970.73139790026</v>
      </c>
      <c r="G113" s="2">
        <f t="shared" si="9"/>
        <v>220</v>
      </c>
      <c r="J113" s="2">
        <v>1251.5590277729611</v>
      </c>
      <c r="K113" s="2">
        <f t="shared" si="10"/>
        <v>-625.77951388648057</v>
      </c>
      <c r="L113" s="2">
        <f t="shared" si="11"/>
        <v>625.77951388648057</v>
      </c>
    </row>
    <row r="114" spans="1:12" x14ac:dyDescent="0.25">
      <c r="A114">
        <v>112</v>
      </c>
      <c r="B114" s="1">
        <v>222</v>
      </c>
      <c r="C114" s="1">
        <v>1256.5285512076516</v>
      </c>
      <c r="D114">
        <f t="shared" si="7"/>
        <v>-628.26427560382581</v>
      </c>
      <c r="E114">
        <f t="shared" si="8"/>
        <v>628.26427560382581</v>
      </c>
      <c r="F114" s="7">
        <f t="shared" si="12"/>
        <v>190478.81897688087</v>
      </c>
      <c r="G114" s="2">
        <f t="shared" si="9"/>
        <v>222</v>
      </c>
      <c r="J114" s="2">
        <v>1256.5285512076516</v>
      </c>
      <c r="K114" s="2">
        <f t="shared" si="10"/>
        <v>-628.26427560382581</v>
      </c>
      <c r="L114" s="2">
        <f t="shared" si="11"/>
        <v>628.26427560382581</v>
      </c>
    </row>
    <row r="115" spans="1:12" x14ac:dyDescent="0.25">
      <c r="A115">
        <v>113</v>
      </c>
      <c r="B115" s="1">
        <v>224</v>
      </c>
      <c r="C115" s="1">
        <v>1261.4658140433296</v>
      </c>
      <c r="D115">
        <f t="shared" si="7"/>
        <v>-630.7329070216648</v>
      </c>
      <c r="E115">
        <f t="shared" si="8"/>
        <v>630.7329070216648</v>
      </c>
      <c r="F115" s="7">
        <f t="shared" si="12"/>
        <v>192996.81334213185</v>
      </c>
      <c r="G115" s="2">
        <f t="shared" si="9"/>
        <v>224</v>
      </c>
      <c r="J115" s="2">
        <v>1261.4658140433296</v>
      </c>
      <c r="K115" s="2">
        <f t="shared" si="10"/>
        <v>-630.7329070216648</v>
      </c>
      <c r="L115" s="2">
        <f t="shared" si="11"/>
        <v>630.7329070216648</v>
      </c>
    </row>
    <row r="116" spans="1:12" x14ac:dyDescent="0.25">
      <c r="A116">
        <v>114</v>
      </c>
      <c r="B116" s="1">
        <v>226</v>
      </c>
      <c r="C116" s="1">
        <v>1266.3711936079405</v>
      </c>
      <c r="D116">
        <f t="shared" si="7"/>
        <v>-633.18559680397027</v>
      </c>
      <c r="E116">
        <f t="shared" si="8"/>
        <v>633.18559680397027</v>
      </c>
      <c r="F116" s="7">
        <f t="shared" si="12"/>
        <v>195524.65034978313</v>
      </c>
      <c r="G116" s="2">
        <f t="shared" si="9"/>
        <v>226</v>
      </c>
      <c r="J116" s="2">
        <v>1266.3711936079405</v>
      </c>
      <c r="K116" s="2">
        <f t="shared" si="10"/>
        <v>-633.18559680397027</v>
      </c>
      <c r="L116" s="2">
        <f t="shared" si="11"/>
        <v>633.18559680397027</v>
      </c>
    </row>
    <row r="117" spans="1:12" x14ac:dyDescent="0.25">
      <c r="A117">
        <v>115</v>
      </c>
      <c r="B117" s="1">
        <v>228</v>
      </c>
      <c r="C117" s="1">
        <v>1271.2450589874479</v>
      </c>
      <c r="D117">
        <f t="shared" si="7"/>
        <v>-635.62252949372396</v>
      </c>
      <c r="E117">
        <f t="shared" si="8"/>
        <v>635.62252949372396</v>
      </c>
      <c r="F117" s="7">
        <f t="shared" si="12"/>
        <v>198062.26660237851</v>
      </c>
      <c r="G117" s="2">
        <f t="shared" si="9"/>
        <v>228</v>
      </c>
      <c r="J117" s="2">
        <v>1271.2450589874479</v>
      </c>
      <c r="K117" s="2">
        <f t="shared" si="10"/>
        <v>-635.62252949372396</v>
      </c>
      <c r="L117" s="2">
        <f t="shared" si="11"/>
        <v>635.62252949372396</v>
      </c>
    </row>
    <row r="118" spans="1:12" x14ac:dyDescent="0.25">
      <c r="A118">
        <v>116</v>
      </c>
      <c r="B118" s="1">
        <v>230</v>
      </c>
      <c r="C118" s="1">
        <v>1276.0877712759416</v>
      </c>
      <c r="D118">
        <f t="shared" si="7"/>
        <v>-638.04388563797079</v>
      </c>
      <c r="E118">
        <f t="shared" si="8"/>
        <v>638.04388563797079</v>
      </c>
      <c r="F118" s="7">
        <f t="shared" si="12"/>
        <v>200609.5994326419</v>
      </c>
      <c r="G118" s="2">
        <f t="shared" si="9"/>
        <v>230</v>
      </c>
      <c r="J118" s="2">
        <v>1276.0877712759416</v>
      </c>
      <c r="K118" s="2">
        <f t="shared" si="10"/>
        <v>-638.04388563797079</v>
      </c>
      <c r="L118" s="2">
        <f t="shared" si="11"/>
        <v>638.04388563797079</v>
      </c>
    </row>
    <row r="119" spans="1:12" x14ac:dyDescent="0.25">
      <c r="A119">
        <v>117</v>
      </c>
      <c r="B119" s="1">
        <v>232</v>
      </c>
      <c r="C119" s="1">
        <v>1280.8996838160278</v>
      </c>
      <c r="D119">
        <f t="shared" si="7"/>
        <v>-640.44984190801392</v>
      </c>
      <c r="E119">
        <f t="shared" si="8"/>
        <v>640.44984190801392</v>
      </c>
      <c r="F119" s="7">
        <f t="shared" si="12"/>
        <v>203166.58688773387</v>
      </c>
      <c r="G119" s="2">
        <f t="shared" si="9"/>
        <v>232</v>
      </c>
      <c r="J119" s="2">
        <v>1280.8996838160278</v>
      </c>
      <c r="K119" s="2">
        <f t="shared" si="10"/>
        <v>-640.44984190801392</v>
      </c>
      <c r="L119" s="2">
        <f t="shared" si="11"/>
        <v>640.44984190801392</v>
      </c>
    </row>
    <row r="120" spans="1:12" x14ac:dyDescent="0.25">
      <c r="A120">
        <v>118</v>
      </c>
      <c r="B120" s="1">
        <v>234</v>
      </c>
      <c r="C120" s="1">
        <v>1285.6811424299572</v>
      </c>
      <c r="D120">
        <f t="shared" si="7"/>
        <v>-642.84057121497858</v>
      </c>
      <c r="E120">
        <f t="shared" si="8"/>
        <v>642.84057121497858</v>
      </c>
      <c r="F120" s="7">
        <f t="shared" si="12"/>
        <v>205733.16771397984</v>
      </c>
      <c r="G120" s="2">
        <f t="shared" si="9"/>
        <v>234</v>
      </c>
      <c r="J120" s="2">
        <v>1285.6811424299572</v>
      </c>
      <c r="K120" s="2">
        <f t="shared" si="10"/>
        <v>-642.84057121497858</v>
      </c>
      <c r="L120" s="2">
        <f t="shared" si="11"/>
        <v>642.84057121497858</v>
      </c>
    </row>
    <row r="121" spans="1:12" x14ac:dyDescent="0.25">
      <c r="A121">
        <v>119</v>
      </c>
      <c r="B121" s="1">
        <v>236</v>
      </c>
      <c r="C121" s="1">
        <v>1290.4324856419262</v>
      </c>
      <c r="D121">
        <f t="shared" si="7"/>
        <v>-645.21624282096309</v>
      </c>
      <c r="E121">
        <f t="shared" si="8"/>
        <v>645.21624282096309</v>
      </c>
      <c r="F121" s="7">
        <f t="shared" si="12"/>
        <v>208309.28134205172</v>
      </c>
      <c r="G121" s="2">
        <f t="shared" si="9"/>
        <v>236</v>
      </c>
      <c r="J121" s="2">
        <v>1290.4324856419262</v>
      </c>
      <c r="K121" s="2">
        <f t="shared" si="10"/>
        <v>-645.21624282096309</v>
      </c>
      <c r="L121" s="2">
        <f t="shared" si="11"/>
        <v>645.21624282096309</v>
      </c>
    </row>
    <row r="122" spans="1:12" x14ac:dyDescent="0.25">
      <c r="A122">
        <v>120</v>
      </c>
      <c r="B122" s="1">
        <v>238</v>
      </c>
      <c r="C122" s="1">
        <v>1295.1540448919579</v>
      </c>
      <c r="D122">
        <f t="shared" si="7"/>
        <v>-647.57702244597897</v>
      </c>
      <c r="E122">
        <f t="shared" si="8"/>
        <v>647.57702244597897</v>
      </c>
      <c r="F122" s="7">
        <f t="shared" si="12"/>
        <v>210894.8678725856</v>
      </c>
      <c r="G122" s="2">
        <f t="shared" si="9"/>
        <v>238</v>
      </c>
      <c r="J122" s="2">
        <v>1295.1540448919579</v>
      </c>
      <c r="K122" s="2">
        <f t="shared" si="10"/>
        <v>-647.57702244597897</v>
      </c>
      <c r="L122" s="2">
        <f t="shared" si="11"/>
        <v>647.57702244597897</v>
      </c>
    </row>
    <row r="123" spans="1:12" x14ac:dyDescent="0.25">
      <c r="A123">
        <v>121</v>
      </c>
      <c r="B123" s="1">
        <v>240</v>
      </c>
      <c r="C123" s="1">
        <v>1299.8461447417537</v>
      </c>
      <c r="D123">
        <f t="shared" si="7"/>
        <v>-649.92307237087687</v>
      </c>
      <c r="E123">
        <f t="shared" si="8"/>
        <v>649.92307237087687</v>
      </c>
      <c r="F123" s="7">
        <f t="shared" si="12"/>
        <v>213489.86806221932</v>
      </c>
      <c r="G123" s="2">
        <f t="shared" si="9"/>
        <v>240</v>
      </c>
      <c r="J123" s="2">
        <v>1299.8461447417537</v>
      </c>
      <c r="K123" s="2">
        <f t="shared" si="10"/>
        <v>-649.92307237087687</v>
      </c>
      <c r="L123" s="2">
        <f t="shared" si="11"/>
        <v>649.92307237087687</v>
      </c>
    </row>
    <row r="124" spans="1:12" x14ac:dyDescent="0.25">
      <c r="A124">
        <v>122</v>
      </c>
      <c r="B124" s="1">
        <v>242</v>
      </c>
      <c r="C124" s="1">
        <v>1304.5091030728763</v>
      </c>
      <c r="D124">
        <f t="shared" si="7"/>
        <v>-652.25455153643816</v>
      </c>
      <c r="E124">
        <f t="shared" si="8"/>
        <v>652.25455153643816</v>
      </c>
      <c r="F124" s="7">
        <f t="shared" si="12"/>
        <v>216094.22331003397</v>
      </c>
      <c r="G124" s="2">
        <f t="shared" si="9"/>
        <v>242</v>
      </c>
      <c r="J124" s="2">
        <v>1304.5091030728763</v>
      </c>
      <c r="K124" s="2">
        <f t="shared" si="10"/>
        <v>-652.25455153643816</v>
      </c>
      <c r="L124" s="2">
        <f t="shared" si="11"/>
        <v>652.25455153643816</v>
      </c>
    </row>
    <row r="125" spans="1:12" x14ac:dyDescent="0.25">
      <c r="A125">
        <v>123</v>
      </c>
      <c r="B125" s="1">
        <v>244</v>
      </c>
      <c r="C125" s="1">
        <v>1309.1432312776169</v>
      </c>
      <c r="D125">
        <f t="shared" si="7"/>
        <v>-654.57161563880845</v>
      </c>
      <c r="E125">
        <f t="shared" si="8"/>
        <v>654.57161563880845</v>
      </c>
      <c r="F125" s="7">
        <f t="shared" si="12"/>
        <v>218707.87564438445</v>
      </c>
      <c r="G125" s="2">
        <f t="shared" si="9"/>
        <v>244</v>
      </c>
      <c r="J125" s="2">
        <v>1309.1432312776169</v>
      </c>
      <c r="K125" s="2">
        <f t="shared" si="10"/>
        <v>-654.57161563880845</v>
      </c>
      <c r="L125" s="2">
        <f t="shared" si="11"/>
        <v>654.57161563880845</v>
      </c>
    </row>
    <row r="126" spans="1:12" x14ac:dyDescent="0.25">
      <c r="A126">
        <v>124</v>
      </c>
      <c r="B126" s="1">
        <v>246</v>
      </c>
      <c r="C126" s="1">
        <v>1313.7488344428702</v>
      </c>
      <c r="D126">
        <f t="shared" si="7"/>
        <v>-656.87441722143512</v>
      </c>
      <c r="E126">
        <f t="shared" si="8"/>
        <v>656.87441722143512</v>
      </c>
      <c r="F126" s="7">
        <f t="shared" si="12"/>
        <v>221330.76771010493</v>
      </c>
      <c r="G126" s="2">
        <f t="shared" si="9"/>
        <v>246</v>
      </c>
      <c r="J126" s="2">
        <v>1313.7488344428702</v>
      </c>
      <c r="K126" s="2">
        <f t="shared" si="10"/>
        <v>-656.87441722143512</v>
      </c>
      <c r="L126" s="2">
        <f t="shared" si="11"/>
        <v>656.87441722143512</v>
      </c>
    </row>
    <row r="127" spans="1:12" x14ac:dyDescent="0.25">
      <c r="A127">
        <v>125</v>
      </c>
      <c r="B127" s="1">
        <v>248</v>
      </c>
      <c r="C127" s="1">
        <v>1318.3262115273292</v>
      </c>
      <c r="D127">
        <f t="shared" si="7"/>
        <v>-659.16310576366459</v>
      </c>
      <c r="E127">
        <f t="shared" si="8"/>
        <v>659.16310576366459</v>
      </c>
      <c r="F127" s="7">
        <f t="shared" si="12"/>
        <v>223962.84275607514</v>
      </c>
      <c r="G127" s="2">
        <f t="shared" si="9"/>
        <v>248</v>
      </c>
      <c r="J127" s="2">
        <v>1318.3262115273292</v>
      </c>
      <c r="K127" s="2">
        <f t="shared" si="10"/>
        <v>-659.16310576366459</v>
      </c>
      <c r="L127" s="2">
        <f t="shared" si="11"/>
        <v>659.16310576366459</v>
      </c>
    </row>
    <row r="128" spans="1:12" x14ac:dyDescent="0.25">
      <c r="A128">
        <v>126</v>
      </c>
      <c r="B128" s="1">
        <v>250</v>
      </c>
      <c r="C128" s="1">
        <v>1322.8756555322952</v>
      </c>
      <c r="D128">
        <f t="shared" si="7"/>
        <v>-661.43782776614762</v>
      </c>
      <c r="E128">
        <f t="shared" si="8"/>
        <v>661.43782776614762</v>
      </c>
      <c r="F128" s="7">
        <f t="shared" si="12"/>
        <v>226604.04462313477</v>
      </c>
      <c r="G128" s="2">
        <f t="shared" si="9"/>
        <v>250</v>
      </c>
      <c r="J128" s="2">
        <v>1322.8756555322952</v>
      </c>
      <c r="K128" s="2">
        <f t="shared" si="10"/>
        <v>-661.43782776614762</v>
      </c>
      <c r="L128" s="2">
        <f t="shared" si="11"/>
        <v>661.43782776614762</v>
      </c>
    </row>
    <row r="129" spans="1:12" x14ac:dyDescent="0.25">
      <c r="A129">
        <v>127</v>
      </c>
      <c r="B129" s="1">
        <v>252</v>
      </c>
      <c r="C129" s="1">
        <v>1327.3974536663841</v>
      </c>
      <c r="D129">
        <f t="shared" si="7"/>
        <v>-663.69872683319204</v>
      </c>
      <c r="E129">
        <f t="shared" si="8"/>
        <v>663.69872683319204</v>
      </c>
      <c r="F129" s="7">
        <f t="shared" si="12"/>
        <v>229254.31773233347</v>
      </c>
      <c r="G129" s="2">
        <f t="shared" si="9"/>
        <v>252</v>
      </c>
      <c r="J129" s="2">
        <v>1327.3974536663841</v>
      </c>
      <c r="K129" s="2">
        <f t="shared" si="10"/>
        <v>-663.69872683319204</v>
      </c>
      <c r="L129" s="2">
        <f t="shared" si="11"/>
        <v>663.69872683319204</v>
      </c>
    </row>
    <row r="130" spans="1:12" x14ac:dyDescent="0.25">
      <c r="A130">
        <v>128</v>
      </c>
      <c r="B130" s="1">
        <v>254</v>
      </c>
      <c r="C130" s="1">
        <v>1331.8918875043876</v>
      </c>
      <c r="D130">
        <f t="shared" si="7"/>
        <v>-665.94594375219378</v>
      </c>
      <c r="E130">
        <f t="shared" si="8"/>
        <v>665.94594375219378</v>
      </c>
      <c r="F130" s="7">
        <f t="shared" si="12"/>
        <v>231913.60707350424</v>
      </c>
      <c r="G130" s="2">
        <f t="shared" si="9"/>
        <v>254</v>
      </c>
      <c r="J130" s="2">
        <v>1331.8918875043876</v>
      </c>
      <c r="K130" s="2">
        <f t="shared" si="10"/>
        <v>-665.94594375219378</v>
      </c>
      <c r="L130" s="2">
        <f t="shared" si="11"/>
        <v>665.94594375219378</v>
      </c>
    </row>
    <row r="131" spans="1:12" x14ac:dyDescent="0.25">
      <c r="A131">
        <v>129</v>
      </c>
      <c r="B131" s="1">
        <v>256</v>
      </c>
      <c r="C131" s="1">
        <v>1336.3592331405505</v>
      </c>
      <c r="D131">
        <f t="shared" si="7"/>
        <v>-668.17961657027524</v>
      </c>
      <c r="E131">
        <f t="shared" si="8"/>
        <v>668.17961657027524</v>
      </c>
      <c r="F131" s="7">
        <f t="shared" si="12"/>
        <v>234581.85819414919</v>
      </c>
      <c r="G131" s="2">
        <f t="shared" si="9"/>
        <v>256</v>
      </c>
      <c r="J131" s="2">
        <v>1336.3592331405505</v>
      </c>
      <c r="K131" s="2">
        <f t="shared" si="10"/>
        <v>-668.17961657027524</v>
      </c>
      <c r="L131" s="2">
        <f t="shared" si="11"/>
        <v>668.17961657027524</v>
      </c>
    </row>
    <row r="132" spans="1:12" x14ac:dyDescent="0.25">
      <c r="A132">
        <v>130</v>
      </c>
      <c r="B132" s="1">
        <v>258</v>
      </c>
      <c r="C132" s="1">
        <v>1340.7997613364944</v>
      </c>
      <c r="D132">
        <f t="shared" ref="D132:D195" si="13">IF(A132&lt;=COUNT(B:B),-1*C132/2,NA())</f>
        <v>-670.39988066824719</v>
      </c>
      <c r="E132">
        <f t="shared" ref="E132:E195" si="14">IF(A132&lt;=COUNT(B:B),C132/2,NA())</f>
        <v>670.39988066824719</v>
      </c>
      <c r="F132" s="7">
        <f t="shared" si="12"/>
        <v>237259.01718862623</v>
      </c>
      <c r="G132" s="2">
        <f t="shared" ref="G132:G195" si="15">B132-$B$3</f>
        <v>258</v>
      </c>
      <c r="J132" s="2">
        <v>1340.7997613364944</v>
      </c>
      <c r="K132" s="2">
        <f t="shared" ref="K132:K195" si="16">IF(A132&lt;=COUNT(B:B),$J132/2*-1,NA())</f>
        <v>-670.39988066824719</v>
      </c>
      <c r="L132" s="2">
        <f t="shared" ref="L132:L195" si="17">IF(A132&lt;=COUNT(B:B),$J132/2,NA())</f>
        <v>670.39988066824719</v>
      </c>
    </row>
    <row r="133" spans="1:12" x14ac:dyDescent="0.25">
      <c r="A133">
        <v>131</v>
      </c>
      <c r="B133" s="1">
        <v>260</v>
      </c>
      <c r="C133" s="1">
        <v>1345.2137376640189</v>
      </c>
      <c r="D133">
        <f t="shared" si="13"/>
        <v>-672.60686883200947</v>
      </c>
      <c r="E133">
        <f t="shared" si="14"/>
        <v>672.60686883200947</v>
      </c>
      <c r="F133" s="7">
        <f t="shared" ref="F133:F196" si="18">IF(A132&lt;COUNT(B:B),(($C133+$C132)*(B133-B132)/2)+F132,"")</f>
        <v>239945.03068762674</v>
      </c>
      <c r="G133" s="2">
        <f t="shared" si="15"/>
        <v>260</v>
      </c>
      <c r="J133" s="2">
        <v>1345.2137376640189</v>
      </c>
      <c r="K133" s="2">
        <f t="shared" si="16"/>
        <v>-672.60686883200947</v>
      </c>
      <c r="L133" s="2">
        <f t="shared" si="17"/>
        <v>672.60686883200947</v>
      </c>
    </row>
    <row r="134" spans="1:12" x14ac:dyDescent="0.25">
      <c r="A134">
        <v>132</v>
      </c>
      <c r="B134" s="1">
        <v>262</v>
      </c>
      <c r="C134" s="1">
        <v>1349.6014226429966</v>
      </c>
      <c r="D134">
        <f t="shared" si="13"/>
        <v>-674.80071132149828</v>
      </c>
      <c r="E134">
        <f t="shared" si="14"/>
        <v>674.80071132149828</v>
      </c>
      <c r="F134" s="7">
        <f t="shared" si="18"/>
        <v>242639.84584793376</v>
      </c>
      <c r="G134" s="2">
        <f t="shared" si="15"/>
        <v>262</v>
      </c>
      <c r="J134" s="2">
        <v>1349.6014226429966</v>
      </c>
      <c r="K134" s="2">
        <f t="shared" si="16"/>
        <v>-674.80071132149828</v>
      </c>
      <c r="L134" s="2">
        <f t="shared" si="17"/>
        <v>674.80071132149828</v>
      </c>
    </row>
    <row r="135" spans="1:12" x14ac:dyDescent="0.25">
      <c r="A135">
        <v>133</v>
      </c>
      <c r="B135" s="1">
        <v>264</v>
      </c>
      <c r="C135" s="1">
        <v>1353.9630718745618</v>
      </c>
      <c r="D135">
        <f t="shared" si="13"/>
        <v>-676.98153593728091</v>
      </c>
      <c r="E135">
        <f t="shared" si="14"/>
        <v>676.98153593728091</v>
      </c>
      <c r="F135" s="7">
        <f t="shared" si="18"/>
        <v>245343.4103424513</v>
      </c>
      <c r="G135" s="2">
        <f t="shared" si="15"/>
        <v>264</v>
      </c>
      <c r="J135" s="2">
        <v>1353.9630718745618</v>
      </c>
      <c r="K135" s="2">
        <f t="shared" si="16"/>
        <v>-676.98153593728091</v>
      </c>
      <c r="L135" s="2">
        <f t="shared" si="17"/>
        <v>676.98153593728091</v>
      </c>
    </row>
    <row r="136" spans="1:12" x14ac:dyDescent="0.25">
      <c r="A136">
        <v>134</v>
      </c>
      <c r="B136" s="1">
        <v>266</v>
      </c>
      <c r="C136" s="1">
        <v>1358.2989361697962</v>
      </c>
      <c r="D136">
        <f t="shared" si="13"/>
        <v>-679.1494680848981</v>
      </c>
      <c r="E136">
        <f t="shared" si="14"/>
        <v>679.1494680848981</v>
      </c>
      <c r="F136" s="7">
        <f t="shared" si="18"/>
        <v>248055.67235049565</v>
      </c>
      <c r="G136" s="2">
        <f t="shared" si="15"/>
        <v>266</v>
      </c>
      <c r="J136" s="2">
        <v>1358.2989361697962</v>
      </c>
      <c r="K136" s="2">
        <f t="shared" si="16"/>
        <v>-679.1494680848981</v>
      </c>
      <c r="L136" s="2">
        <f t="shared" si="17"/>
        <v>679.1494680848981</v>
      </c>
    </row>
    <row r="137" spans="1:12" x14ac:dyDescent="0.25">
      <c r="A137">
        <v>135</v>
      </c>
      <c r="B137" s="1">
        <v>268</v>
      </c>
      <c r="C137" s="1">
        <v>1362.6092616740868</v>
      </c>
      <c r="D137">
        <f t="shared" si="13"/>
        <v>-681.30463083704342</v>
      </c>
      <c r="E137">
        <f t="shared" si="14"/>
        <v>681.30463083704342</v>
      </c>
      <c r="F137" s="7">
        <f t="shared" si="18"/>
        <v>250776.58054833952</v>
      </c>
      <c r="G137" s="2">
        <f t="shared" si="15"/>
        <v>268</v>
      </c>
      <c r="J137" s="2">
        <v>1362.6092616740868</v>
      </c>
      <c r="K137" s="2">
        <f t="shared" si="16"/>
        <v>-681.30463083704342</v>
      </c>
      <c r="L137" s="2">
        <f t="shared" si="17"/>
        <v>681.30463083704342</v>
      </c>
    </row>
    <row r="138" spans="1:12" x14ac:dyDescent="0.25">
      <c r="A138">
        <v>136</v>
      </c>
      <c r="B138" s="1">
        <v>270</v>
      </c>
      <c r="C138" s="1">
        <v>1366.8942899873421</v>
      </c>
      <c r="D138">
        <f t="shared" si="13"/>
        <v>-683.44714499367103</v>
      </c>
      <c r="E138">
        <f t="shared" si="14"/>
        <v>683.44714499367103</v>
      </c>
      <c r="F138" s="7">
        <f t="shared" si="18"/>
        <v>253506.08410000094</v>
      </c>
      <c r="G138" s="2">
        <f t="shared" si="15"/>
        <v>270</v>
      </c>
      <c r="J138" s="2">
        <v>1366.8942899873421</v>
      </c>
      <c r="K138" s="2">
        <f t="shared" si="16"/>
        <v>-683.44714499367103</v>
      </c>
      <c r="L138" s="2">
        <f t="shared" si="17"/>
        <v>683.44714499367103</v>
      </c>
    </row>
    <row r="139" spans="1:12" x14ac:dyDescent="0.25">
      <c r="A139">
        <v>137</v>
      </c>
      <c r="B139" s="1">
        <v>272</v>
      </c>
      <c r="C139" s="1">
        <v>1371.1542582802272</v>
      </c>
      <c r="D139">
        <f t="shared" si="13"/>
        <v>-685.57712914011358</v>
      </c>
      <c r="E139">
        <f t="shared" si="14"/>
        <v>685.57712914011358</v>
      </c>
      <c r="F139" s="7">
        <f t="shared" si="18"/>
        <v>256244.13264826851</v>
      </c>
      <c r="G139" s="2">
        <f t="shared" si="15"/>
        <v>272</v>
      </c>
      <c r="J139" s="2">
        <v>1371.1542582802272</v>
      </c>
      <c r="K139" s="2">
        <f t="shared" si="16"/>
        <v>-685.57712914011358</v>
      </c>
      <c r="L139" s="2">
        <f t="shared" si="17"/>
        <v>685.57712914011358</v>
      </c>
    </row>
    <row r="140" spans="1:12" x14ac:dyDescent="0.25">
      <c r="A140">
        <v>138</v>
      </c>
      <c r="B140" s="1">
        <v>274</v>
      </c>
      <c r="C140" s="1">
        <v>1375.3893994065827</v>
      </c>
      <c r="D140">
        <f t="shared" si="13"/>
        <v>-687.69469970329135</v>
      </c>
      <c r="E140">
        <f t="shared" si="14"/>
        <v>687.69469970329135</v>
      </c>
      <c r="F140" s="7">
        <f t="shared" si="18"/>
        <v>258990.67630595533</v>
      </c>
      <c r="G140" s="2">
        <f t="shared" si="15"/>
        <v>274</v>
      </c>
      <c r="J140" s="2">
        <v>1375.3893994065827</v>
      </c>
      <c r="K140" s="2">
        <f t="shared" si="16"/>
        <v>-687.69469970329135</v>
      </c>
      <c r="L140" s="2">
        <f t="shared" si="17"/>
        <v>687.69469970329135</v>
      </c>
    </row>
    <row r="141" spans="1:12" x14ac:dyDescent="0.25">
      <c r="A141">
        <v>139</v>
      </c>
      <c r="B141" s="1">
        <v>276</v>
      </c>
      <c r="C141" s="1">
        <v>1379.5999420121761</v>
      </c>
      <c r="D141">
        <f t="shared" si="13"/>
        <v>-689.79997100608807</v>
      </c>
      <c r="E141">
        <f t="shared" si="14"/>
        <v>689.79997100608807</v>
      </c>
      <c r="F141" s="7">
        <f t="shared" si="18"/>
        <v>261745.66564737409</v>
      </c>
      <c r="G141" s="2">
        <f t="shared" si="15"/>
        <v>276</v>
      </c>
      <c r="J141" s="2">
        <v>1379.5999420121761</v>
      </c>
      <c r="K141" s="2">
        <f t="shared" si="16"/>
        <v>-689.79997100608807</v>
      </c>
      <c r="L141" s="2">
        <f t="shared" si="17"/>
        <v>689.79997100608807</v>
      </c>
    </row>
    <row r="142" spans="1:12" x14ac:dyDescent="0.25">
      <c r="A142">
        <v>140</v>
      </c>
      <c r="B142" s="1">
        <v>278</v>
      </c>
      <c r="C142" s="1">
        <v>1383.7861106399355</v>
      </c>
      <c r="D142">
        <f t="shared" si="13"/>
        <v>-691.89305531996774</v>
      </c>
      <c r="E142">
        <f t="shared" si="14"/>
        <v>691.89305531996774</v>
      </c>
      <c r="F142" s="7">
        <f t="shared" si="18"/>
        <v>264509.0517000262</v>
      </c>
      <c r="G142" s="2">
        <f t="shared" si="15"/>
        <v>278</v>
      </c>
      <c r="J142" s="2">
        <v>1383.7861106399355</v>
      </c>
      <c r="K142" s="2">
        <f t="shared" si="16"/>
        <v>-691.89305531996774</v>
      </c>
      <c r="L142" s="2">
        <f t="shared" si="17"/>
        <v>691.89305531996774</v>
      </c>
    </row>
    <row r="143" spans="1:12" x14ac:dyDescent="0.25">
      <c r="A143">
        <v>141</v>
      </c>
      <c r="B143" s="1">
        <v>280</v>
      </c>
      <c r="C143" s="1">
        <v>1387.9481258317978</v>
      </c>
      <c r="D143">
        <f t="shared" si="13"/>
        <v>-693.97406291589891</v>
      </c>
      <c r="E143">
        <f t="shared" si="14"/>
        <v>693.97406291589891</v>
      </c>
      <c r="F143" s="7">
        <f t="shared" si="18"/>
        <v>267280.78593649797</v>
      </c>
      <c r="G143" s="2">
        <f t="shared" si="15"/>
        <v>280</v>
      </c>
      <c r="J143" s="2">
        <v>1387.9481258317978</v>
      </c>
      <c r="K143" s="2">
        <f t="shared" si="16"/>
        <v>-693.97406291589891</v>
      </c>
      <c r="L143" s="2">
        <f t="shared" si="17"/>
        <v>693.97406291589891</v>
      </c>
    </row>
    <row r="144" spans="1:12" x14ac:dyDescent="0.25">
      <c r="A144">
        <v>142</v>
      </c>
      <c r="B144" s="1">
        <v>282</v>
      </c>
      <c r="C144" s="1">
        <v>1392.08620422731</v>
      </c>
      <c r="D144">
        <f t="shared" si="13"/>
        <v>-696.04310211365498</v>
      </c>
      <c r="E144">
        <f t="shared" si="14"/>
        <v>696.04310211365498</v>
      </c>
      <c r="F144" s="7">
        <f t="shared" si="18"/>
        <v>270060.8202665571</v>
      </c>
      <c r="G144" s="2">
        <f t="shared" si="15"/>
        <v>282</v>
      </c>
      <c r="J144" s="2">
        <v>1392.08620422731</v>
      </c>
      <c r="K144" s="2">
        <f t="shared" si="16"/>
        <v>-696.04310211365498</v>
      </c>
      <c r="L144" s="2">
        <f t="shared" si="17"/>
        <v>696.04310211365498</v>
      </c>
    </row>
    <row r="145" spans="1:12" x14ac:dyDescent="0.25">
      <c r="A145">
        <v>143</v>
      </c>
      <c r="B145" s="1">
        <v>284</v>
      </c>
      <c r="C145" s="1">
        <v>1396.200558659106</v>
      </c>
      <c r="D145">
        <f t="shared" si="13"/>
        <v>-698.10027932955302</v>
      </c>
      <c r="E145">
        <f t="shared" si="14"/>
        <v>698.10027932955302</v>
      </c>
      <c r="F145" s="7">
        <f t="shared" si="18"/>
        <v>272849.10702944349</v>
      </c>
      <c r="G145" s="2">
        <f t="shared" si="15"/>
        <v>284</v>
      </c>
      <c r="J145" s="2">
        <v>1396.200558659106</v>
      </c>
      <c r="K145" s="2">
        <f t="shared" si="16"/>
        <v>-698.10027932955302</v>
      </c>
      <c r="L145" s="2">
        <f t="shared" si="17"/>
        <v>698.10027932955302</v>
      </c>
    </row>
    <row r="146" spans="1:12" x14ac:dyDescent="0.25">
      <c r="A146">
        <v>144</v>
      </c>
      <c r="B146" s="1">
        <v>286</v>
      </c>
      <c r="C146" s="1">
        <v>1400.2913982453795</v>
      </c>
      <c r="D146">
        <f t="shared" si="13"/>
        <v>-700.14569912268973</v>
      </c>
      <c r="E146">
        <f t="shared" si="14"/>
        <v>700.14569912268973</v>
      </c>
      <c r="F146" s="7">
        <f t="shared" si="18"/>
        <v>275645.59898634796</v>
      </c>
      <c r="G146" s="2">
        <f t="shared" si="15"/>
        <v>286</v>
      </c>
      <c r="J146" s="2">
        <v>1400.2913982453795</v>
      </c>
      <c r="K146" s="2">
        <f t="shared" si="16"/>
        <v>-700.14569912268973</v>
      </c>
      <c r="L146" s="2">
        <f t="shared" si="17"/>
        <v>700.14569912268973</v>
      </c>
    </row>
    <row r="147" spans="1:12" x14ac:dyDescent="0.25">
      <c r="A147">
        <v>145</v>
      </c>
      <c r="B147" s="1">
        <v>288</v>
      </c>
      <c r="C147" s="1">
        <v>1404.3589284794682</v>
      </c>
      <c r="D147">
        <f t="shared" si="13"/>
        <v>-702.1794642397341</v>
      </c>
      <c r="E147">
        <f t="shared" si="14"/>
        <v>702.1794642397341</v>
      </c>
      <c r="F147" s="7">
        <f t="shared" si="18"/>
        <v>278450.24931307283</v>
      </c>
      <c r="G147" s="2">
        <f t="shared" si="15"/>
        <v>288</v>
      </c>
      <c r="J147" s="2">
        <v>1404.3589284794682</v>
      </c>
      <c r="K147" s="2">
        <f t="shared" si="16"/>
        <v>-702.1794642397341</v>
      </c>
      <c r="L147" s="2">
        <f t="shared" si="17"/>
        <v>702.1794642397341</v>
      </c>
    </row>
    <row r="148" spans="1:12" x14ac:dyDescent="0.25">
      <c r="A148">
        <v>146</v>
      </c>
      <c r="B148" s="1">
        <v>290</v>
      </c>
      <c r="C148" s="1">
        <v>1408.4033513166603</v>
      </c>
      <c r="D148">
        <f t="shared" si="13"/>
        <v>-704.20167565833015</v>
      </c>
      <c r="E148">
        <f t="shared" si="14"/>
        <v>704.20167565833015</v>
      </c>
      <c r="F148" s="7">
        <f t="shared" si="18"/>
        <v>281263.01159286895</v>
      </c>
      <c r="G148" s="2">
        <f t="shared" si="15"/>
        <v>290</v>
      </c>
      <c r="J148" s="2">
        <v>1408.4033513166603</v>
      </c>
      <c r="K148" s="2">
        <f t="shared" si="16"/>
        <v>-704.20167565833015</v>
      </c>
      <c r="L148" s="2">
        <f t="shared" si="17"/>
        <v>704.20167565833015</v>
      </c>
    </row>
    <row r="149" spans="1:12" x14ac:dyDescent="0.25">
      <c r="A149">
        <v>147</v>
      </c>
      <c r="B149" s="1">
        <v>292</v>
      </c>
      <c r="C149" s="1">
        <v>1412.4248652583258</v>
      </c>
      <c r="D149">
        <f t="shared" si="13"/>
        <v>-706.21243262916289</v>
      </c>
      <c r="E149">
        <f t="shared" si="14"/>
        <v>706.21243262916289</v>
      </c>
      <c r="F149" s="7">
        <f t="shared" si="18"/>
        <v>284083.83980944392</v>
      </c>
      <c r="G149" s="2">
        <f t="shared" si="15"/>
        <v>292</v>
      </c>
      <c r="J149" s="2">
        <v>1412.4248652583258</v>
      </c>
      <c r="K149" s="2">
        <f t="shared" si="16"/>
        <v>-706.21243262916289</v>
      </c>
      <c r="L149" s="2">
        <f t="shared" si="17"/>
        <v>706.21243262916289</v>
      </c>
    </row>
    <row r="150" spans="1:12" x14ac:dyDescent="0.25">
      <c r="A150">
        <v>148</v>
      </c>
      <c r="B150" s="1">
        <v>294</v>
      </c>
      <c r="C150" s="1">
        <v>1416.4236654334748</v>
      </c>
      <c r="D150">
        <f t="shared" si="13"/>
        <v>-708.21183271673738</v>
      </c>
      <c r="E150">
        <f t="shared" si="14"/>
        <v>708.21183271673738</v>
      </c>
      <c r="F150" s="7">
        <f t="shared" si="18"/>
        <v>286912.68834013573</v>
      </c>
      <c r="G150" s="2">
        <f t="shared" si="15"/>
        <v>294</v>
      </c>
      <c r="J150" s="2">
        <v>1416.4236654334748</v>
      </c>
      <c r="K150" s="2">
        <f t="shared" si="16"/>
        <v>-708.21183271673738</v>
      </c>
      <c r="L150" s="2">
        <f t="shared" si="17"/>
        <v>708.21183271673738</v>
      </c>
    </row>
    <row r="151" spans="1:12" x14ac:dyDescent="0.25">
      <c r="A151">
        <v>149</v>
      </c>
      <c r="B151" s="1">
        <v>296</v>
      </c>
      <c r="C151" s="1">
        <v>1420.3999436778361</v>
      </c>
      <c r="D151">
        <f t="shared" si="13"/>
        <v>-710.19997183891803</v>
      </c>
      <c r="E151">
        <f t="shared" si="14"/>
        <v>710.19997183891803</v>
      </c>
      <c r="F151" s="7">
        <f t="shared" si="18"/>
        <v>289749.51194924704</v>
      </c>
      <c r="G151" s="2">
        <f t="shared" si="15"/>
        <v>296</v>
      </c>
      <c r="J151" s="2">
        <v>1420.3999436778361</v>
      </c>
      <c r="K151" s="2">
        <f t="shared" si="16"/>
        <v>-710.19997183891803</v>
      </c>
      <c r="L151" s="2">
        <f t="shared" si="17"/>
        <v>710.19997183891803</v>
      </c>
    </row>
    <row r="152" spans="1:12" x14ac:dyDescent="0.25">
      <c r="A152">
        <v>150</v>
      </c>
      <c r="B152" s="1">
        <v>298</v>
      </c>
      <c r="C152" s="1">
        <v>1424.3538886105516</v>
      </c>
      <c r="D152">
        <f t="shared" si="13"/>
        <v>-712.17694430527581</v>
      </c>
      <c r="E152">
        <f t="shared" si="14"/>
        <v>712.17694430527581</v>
      </c>
      <c r="F152" s="7">
        <f t="shared" si="18"/>
        <v>292594.26578153542</v>
      </c>
      <c r="G152" s="2">
        <f t="shared" si="15"/>
        <v>298</v>
      </c>
      <c r="J152" s="2">
        <v>1424.3538886105516</v>
      </c>
      <c r="K152" s="2">
        <f t="shared" si="16"/>
        <v>-712.17694430527581</v>
      </c>
      <c r="L152" s="2">
        <f t="shared" si="17"/>
        <v>712.17694430527581</v>
      </c>
    </row>
    <row r="153" spans="1:12" x14ac:dyDescent="0.25">
      <c r="A153">
        <v>151</v>
      </c>
      <c r="B153" s="1">
        <v>300</v>
      </c>
      <c r="C153" s="1">
        <v>1428.2856857085701</v>
      </c>
      <c r="D153">
        <f t="shared" si="13"/>
        <v>-714.14284285428505</v>
      </c>
      <c r="E153">
        <f t="shared" si="14"/>
        <v>714.14284285428505</v>
      </c>
      <c r="F153" s="7">
        <f t="shared" si="18"/>
        <v>295446.90535585454</v>
      </c>
      <c r="G153" s="2">
        <f t="shared" si="15"/>
        <v>300</v>
      </c>
      <c r="J153" s="2">
        <v>1428.2856857085701</v>
      </c>
      <c r="K153" s="2">
        <f t="shared" si="16"/>
        <v>-714.14284285428505</v>
      </c>
      <c r="L153" s="2">
        <f t="shared" si="17"/>
        <v>714.14284285428505</v>
      </c>
    </row>
    <row r="154" spans="1:12" x14ac:dyDescent="0.25">
      <c r="A154">
        <v>152</v>
      </c>
      <c r="B154" s="1">
        <v>302</v>
      </c>
      <c r="C154" s="1">
        <v>1432.1955173788249</v>
      </c>
      <c r="D154">
        <f t="shared" si="13"/>
        <v>-716.09775868941244</v>
      </c>
      <c r="E154">
        <f t="shared" si="14"/>
        <v>716.09775868941244</v>
      </c>
      <c r="F154" s="7">
        <f t="shared" si="18"/>
        <v>298307.38655894191</v>
      </c>
      <c r="G154" s="2">
        <f t="shared" si="15"/>
        <v>302</v>
      </c>
      <c r="J154" s="2">
        <v>1432.1955173788249</v>
      </c>
      <c r="K154" s="2">
        <f t="shared" si="16"/>
        <v>-716.09775868941244</v>
      </c>
      <c r="L154" s="2">
        <f t="shared" si="17"/>
        <v>716.09775868941244</v>
      </c>
    </row>
    <row r="155" spans="1:12" x14ac:dyDescent="0.25">
      <c r="A155">
        <v>153</v>
      </c>
      <c r="B155" s="1">
        <v>304</v>
      </c>
      <c r="C155" s="1">
        <v>1436.08356302828</v>
      </c>
      <c r="D155">
        <f t="shared" si="13"/>
        <v>-718.04178151413998</v>
      </c>
      <c r="E155">
        <f t="shared" si="14"/>
        <v>718.04178151413998</v>
      </c>
      <c r="F155" s="7">
        <f t="shared" si="18"/>
        <v>301175.66563934903</v>
      </c>
      <c r="G155" s="2">
        <f t="shared" si="15"/>
        <v>304</v>
      </c>
      <c r="J155" s="2">
        <v>1436.08356302828</v>
      </c>
      <c r="K155" s="2">
        <f t="shared" si="16"/>
        <v>-718.04178151413998</v>
      </c>
      <c r="L155" s="2">
        <f t="shared" si="17"/>
        <v>718.04178151413998</v>
      </c>
    </row>
    <row r="156" spans="1:12" x14ac:dyDescent="0.25">
      <c r="A156">
        <v>154</v>
      </c>
      <c r="B156" s="1">
        <v>306</v>
      </c>
      <c r="C156" s="1">
        <v>1439.9499991319144</v>
      </c>
      <c r="D156">
        <f t="shared" si="13"/>
        <v>-719.97499956595721</v>
      </c>
      <c r="E156">
        <f t="shared" si="14"/>
        <v>719.97499956595721</v>
      </c>
      <c r="F156" s="7">
        <f t="shared" si="18"/>
        <v>304051.69920150924</v>
      </c>
      <c r="G156" s="2">
        <f t="shared" si="15"/>
        <v>306</v>
      </c>
      <c r="J156" s="2">
        <v>1439.9499991319144</v>
      </c>
      <c r="K156" s="2">
        <f t="shared" si="16"/>
        <v>-719.97499956595721</v>
      </c>
      <c r="L156" s="2">
        <f t="shared" si="17"/>
        <v>719.97499956595721</v>
      </c>
    </row>
    <row r="157" spans="1:12" x14ac:dyDescent="0.25">
      <c r="A157">
        <v>155</v>
      </c>
      <c r="B157" s="1">
        <v>308</v>
      </c>
      <c r="C157" s="1">
        <v>1443.7949992987233</v>
      </c>
      <c r="D157">
        <f t="shared" si="13"/>
        <v>-721.89749964936163</v>
      </c>
      <c r="E157">
        <f t="shared" si="14"/>
        <v>721.89749964936163</v>
      </c>
      <c r="F157" s="7">
        <f t="shared" si="18"/>
        <v>306935.4441999399</v>
      </c>
      <c r="G157" s="2">
        <f t="shared" si="15"/>
        <v>308</v>
      </c>
      <c r="J157" s="2">
        <v>1443.7949992987233</v>
      </c>
      <c r="K157" s="2">
        <f t="shared" si="16"/>
        <v>-721.89749964936163</v>
      </c>
      <c r="L157" s="2">
        <f t="shared" si="17"/>
        <v>721.89749964936163</v>
      </c>
    </row>
    <row r="158" spans="1:12" x14ac:dyDescent="0.25">
      <c r="A158">
        <v>156</v>
      </c>
      <c r="B158" s="1">
        <v>310</v>
      </c>
      <c r="C158" s="1">
        <v>1447.6187343358058</v>
      </c>
      <c r="D158">
        <f t="shared" si="13"/>
        <v>-723.80936716790291</v>
      </c>
      <c r="E158">
        <f t="shared" si="14"/>
        <v>723.80936716790291</v>
      </c>
      <c r="F158" s="7">
        <f t="shared" si="18"/>
        <v>309826.85793357441</v>
      </c>
      <c r="G158" s="2">
        <f t="shared" si="15"/>
        <v>310</v>
      </c>
      <c r="J158" s="2">
        <v>1447.6187343358058</v>
      </c>
      <c r="K158" s="2">
        <f t="shared" si="16"/>
        <v>-723.80936716790291</v>
      </c>
      <c r="L158" s="2">
        <f t="shared" si="17"/>
        <v>723.80936716790291</v>
      </c>
    </row>
    <row r="159" spans="1:12" x14ac:dyDescent="0.25">
      <c r="A159">
        <v>157</v>
      </c>
      <c r="B159" s="1">
        <v>312</v>
      </c>
      <c r="C159" s="1">
        <v>1451.421372310605</v>
      </c>
      <c r="D159">
        <f t="shared" si="13"/>
        <v>-725.71068615530248</v>
      </c>
      <c r="E159">
        <f t="shared" si="14"/>
        <v>725.71068615530248</v>
      </c>
      <c r="F159" s="7">
        <f t="shared" si="18"/>
        <v>312725.89804022084</v>
      </c>
      <c r="G159" s="2">
        <f t="shared" si="15"/>
        <v>312</v>
      </c>
      <c r="J159" s="2">
        <v>1451.421372310605</v>
      </c>
      <c r="K159" s="2">
        <f t="shared" si="16"/>
        <v>-725.71068615530248</v>
      </c>
      <c r="L159" s="2">
        <f t="shared" si="17"/>
        <v>725.71068615530248</v>
      </c>
    </row>
    <row r="160" spans="1:12" x14ac:dyDescent="0.25">
      <c r="A160">
        <v>158</v>
      </c>
      <c r="B160" s="1">
        <v>314</v>
      </c>
      <c r="C160" s="1">
        <v>1455.2030786113669</v>
      </c>
      <c r="D160">
        <f t="shared" si="13"/>
        <v>-727.60153930568345</v>
      </c>
      <c r="E160">
        <f t="shared" si="14"/>
        <v>727.60153930568345</v>
      </c>
      <c r="F160" s="7">
        <f t="shared" si="18"/>
        <v>315632.52249114279</v>
      </c>
      <c r="G160" s="2">
        <f t="shared" si="15"/>
        <v>314</v>
      </c>
      <c r="J160" s="2">
        <v>1455.2030786113669</v>
      </c>
      <c r="K160" s="2">
        <f t="shared" si="16"/>
        <v>-727.60153930568345</v>
      </c>
      <c r="L160" s="2">
        <f t="shared" si="17"/>
        <v>727.60153930568345</v>
      </c>
    </row>
    <row r="161" spans="1:12" x14ac:dyDescent="0.25">
      <c r="A161">
        <v>159</v>
      </c>
      <c r="B161" s="1">
        <v>316</v>
      </c>
      <c r="C161" s="1">
        <v>1458.964016005878</v>
      </c>
      <c r="D161">
        <f t="shared" si="13"/>
        <v>-729.48200800293898</v>
      </c>
      <c r="E161">
        <f t="shared" si="14"/>
        <v>729.48200800293898</v>
      </c>
      <c r="F161" s="7">
        <f t="shared" si="18"/>
        <v>318546.68958576006</v>
      </c>
      <c r="G161" s="2">
        <f t="shared" si="15"/>
        <v>316</v>
      </c>
      <c r="J161" s="2">
        <v>1458.964016005878</v>
      </c>
      <c r="K161" s="2">
        <f t="shared" si="16"/>
        <v>-729.48200800293898</v>
      </c>
      <c r="L161" s="2">
        <f t="shared" si="17"/>
        <v>729.48200800293898</v>
      </c>
    </row>
    <row r="162" spans="1:12" x14ac:dyDescent="0.25">
      <c r="A162">
        <v>160</v>
      </c>
      <c r="B162" s="1">
        <v>318</v>
      </c>
      <c r="C162" s="1">
        <v>1462.7043446985451</v>
      </c>
      <c r="D162">
        <f t="shared" si="13"/>
        <v>-731.35217234927256</v>
      </c>
      <c r="E162">
        <f t="shared" si="14"/>
        <v>731.35217234927256</v>
      </c>
      <c r="F162" s="7">
        <f t="shared" si="18"/>
        <v>321468.3579464645</v>
      </c>
      <c r="G162" s="2">
        <f t="shared" si="15"/>
        <v>318</v>
      </c>
      <c r="J162" s="2">
        <v>1462.7043446985451</v>
      </c>
      <c r="K162" s="2">
        <f t="shared" si="16"/>
        <v>-731.35217234927256</v>
      </c>
      <c r="L162" s="2">
        <f t="shared" si="17"/>
        <v>731.35217234927256</v>
      </c>
    </row>
    <row r="163" spans="1:12" x14ac:dyDescent="0.25">
      <c r="A163">
        <v>161</v>
      </c>
      <c r="B163" s="1">
        <v>320</v>
      </c>
      <c r="C163" s="1">
        <v>1466.4242223858687</v>
      </c>
      <c r="D163">
        <f t="shared" si="13"/>
        <v>-733.21211119293434</v>
      </c>
      <c r="E163">
        <f t="shared" si="14"/>
        <v>733.21211119293434</v>
      </c>
      <c r="F163" s="7">
        <f t="shared" si="18"/>
        <v>324397.48651354894</v>
      </c>
      <c r="G163" s="2">
        <f t="shared" si="15"/>
        <v>320</v>
      </c>
      <c r="J163" s="2">
        <v>1466.4242223858687</v>
      </c>
      <c r="K163" s="2">
        <f t="shared" si="16"/>
        <v>-733.21211119293434</v>
      </c>
      <c r="L163" s="2">
        <f t="shared" si="17"/>
        <v>733.21211119293434</v>
      </c>
    </row>
    <row r="164" spans="1:12" x14ac:dyDescent="0.25">
      <c r="A164">
        <v>162</v>
      </c>
      <c r="B164" s="1">
        <v>322</v>
      </c>
      <c r="C164" s="1">
        <v>1470.1238043103717</v>
      </c>
      <c r="D164">
        <f t="shared" si="13"/>
        <v>-735.06190215518586</v>
      </c>
      <c r="E164">
        <f t="shared" si="14"/>
        <v>735.06190215518586</v>
      </c>
      <c r="F164" s="7">
        <f t="shared" si="18"/>
        <v>327334.03454024519</v>
      </c>
      <c r="G164" s="2">
        <f t="shared" si="15"/>
        <v>322</v>
      </c>
      <c r="J164" s="2">
        <v>1470.1238043103717</v>
      </c>
      <c r="K164" s="2">
        <f t="shared" si="16"/>
        <v>-735.06190215518586</v>
      </c>
      <c r="L164" s="2">
        <f t="shared" si="17"/>
        <v>735.06190215518586</v>
      </c>
    </row>
    <row r="165" spans="1:12" x14ac:dyDescent="0.25">
      <c r="A165">
        <v>163</v>
      </c>
      <c r="B165" s="1">
        <v>324</v>
      </c>
      <c r="C165" s="1">
        <v>1473.8032433130279</v>
      </c>
      <c r="D165">
        <f t="shared" si="13"/>
        <v>-736.90162165651395</v>
      </c>
      <c r="E165">
        <f t="shared" si="14"/>
        <v>736.90162165651395</v>
      </c>
      <c r="F165" s="7">
        <f t="shared" si="18"/>
        <v>330277.96158786857</v>
      </c>
      <c r="G165" s="2">
        <f t="shared" si="15"/>
        <v>324</v>
      </c>
      <c r="J165" s="2">
        <v>1473.8032433130279</v>
      </c>
      <c r="K165" s="2">
        <f t="shared" si="16"/>
        <v>-736.90162165651395</v>
      </c>
      <c r="L165" s="2">
        <f t="shared" si="17"/>
        <v>736.90162165651395</v>
      </c>
    </row>
    <row r="166" spans="1:12" x14ac:dyDescent="0.25">
      <c r="A166">
        <v>164</v>
      </c>
      <c r="B166" s="1">
        <v>326</v>
      </c>
      <c r="C166" s="1">
        <v>1477.4626898842489</v>
      </c>
      <c r="D166">
        <f t="shared" si="13"/>
        <v>-738.73134494212445</v>
      </c>
      <c r="E166">
        <f t="shared" si="14"/>
        <v>738.73134494212445</v>
      </c>
      <c r="F166" s="7">
        <f t="shared" si="18"/>
        <v>333229.22752106586</v>
      </c>
      <c r="G166" s="2">
        <f t="shared" si="15"/>
        <v>326</v>
      </c>
      <c r="J166" s="2">
        <v>1477.4626898842489</v>
      </c>
      <c r="K166" s="2">
        <f t="shared" si="16"/>
        <v>-738.73134494212445</v>
      </c>
      <c r="L166" s="2">
        <f t="shared" si="17"/>
        <v>738.73134494212445</v>
      </c>
    </row>
    <row r="167" spans="1:12" x14ac:dyDescent="0.25">
      <c r="A167">
        <v>165</v>
      </c>
      <c r="B167" s="1">
        <v>328</v>
      </c>
      <c r="C167" s="1">
        <v>1481.1022922134716</v>
      </c>
      <c r="D167">
        <f t="shared" si="13"/>
        <v>-740.55114610673581</v>
      </c>
      <c r="E167">
        <f t="shared" si="14"/>
        <v>740.55114610673581</v>
      </c>
      <c r="F167" s="7">
        <f t="shared" si="18"/>
        <v>336187.79250316357</v>
      </c>
      <c r="G167" s="2">
        <f t="shared" si="15"/>
        <v>328</v>
      </c>
      <c r="J167" s="2">
        <v>1481.1022922134716</v>
      </c>
      <c r="K167" s="2">
        <f t="shared" si="16"/>
        <v>-740.55114610673581</v>
      </c>
      <c r="L167" s="2">
        <f t="shared" si="17"/>
        <v>740.55114610673581</v>
      </c>
    </row>
    <row r="168" spans="1:12" x14ac:dyDescent="0.25">
      <c r="A168">
        <v>166</v>
      </c>
      <c r="B168" s="1">
        <v>330</v>
      </c>
      <c r="C168" s="1">
        <v>1484.7221962373972</v>
      </c>
      <c r="D168">
        <f t="shared" si="13"/>
        <v>-742.36109811869858</v>
      </c>
      <c r="E168">
        <f t="shared" si="14"/>
        <v>742.36109811869858</v>
      </c>
      <c r="F168" s="7">
        <f t="shared" si="18"/>
        <v>339153.61699161446</v>
      </c>
      <c r="G168" s="2">
        <f t="shared" si="15"/>
        <v>330</v>
      </c>
      <c r="J168" s="2">
        <v>1484.7221962373972</v>
      </c>
      <c r="K168" s="2">
        <f t="shared" si="16"/>
        <v>-742.36109811869858</v>
      </c>
      <c r="L168" s="2">
        <f t="shared" si="17"/>
        <v>742.36109811869858</v>
      </c>
    </row>
    <row r="169" spans="1:12" x14ac:dyDescent="0.25">
      <c r="A169">
        <v>167</v>
      </c>
      <c r="B169" s="1">
        <v>332</v>
      </c>
      <c r="C169" s="1">
        <v>1488.322545686922</v>
      </c>
      <c r="D169">
        <f t="shared" si="13"/>
        <v>-744.16127284346101</v>
      </c>
      <c r="E169">
        <f t="shared" si="14"/>
        <v>744.16127284346101</v>
      </c>
      <c r="F169" s="7">
        <f t="shared" si="18"/>
        <v>342126.66173353879</v>
      </c>
      <c r="G169" s="2">
        <f t="shared" si="15"/>
        <v>332</v>
      </c>
      <c r="J169" s="2">
        <v>1488.322545686922</v>
      </c>
      <c r="K169" s="2">
        <f t="shared" si="16"/>
        <v>-744.16127284346101</v>
      </c>
      <c r="L169" s="2">
        <f t="shared" si="17"/>
        <v>744.16127284346101</v>
      </c>
    </row>
    <row r="170" spans="1:12" x14ac:dyDescent="0.25">
      <c r="A170">
        <v>168</v>
      </c>
      <c r="B170" s="1">
        <v>334</v>
      </c>
      <c r="C170" s="1">
        <v>1491.9034821328087</v>
      </c>
      <c r="D170">
        <f t="shared" si="13"/>
        <v>-745.95174106640434</v>
      </c>
      <c r="E170">
        <f t="shared" si="14"/>
        <v>745.95174106640434</v>
      </c>
      <c r="F170" s="7">
        <f t="shared" si="18"/>
        <v>345106.88776135852</v>
      </c>
      <c r="G170" s="2">
        <f t="shared" si="15"/>
        <v>334</v>
      </c>
      <c r="J170" s="2">
        <v>1491.9034821328087</v>
      </c>
      <c r="K170" s="2">
        <f t="shared" si="16"/>
        <v>-745.95174106640434</v>
      </c>
      <c r="L170" s="2">
        <f t="shared" si="17"/>
        <v>745.95174106640434</v>
      </c>
    </row>
    <row r="171" spans="1:12" x14ac:dyDescent="0.25">
      <c r="A171">
        <v>169</v>
      </c>
      <c r="B171" s="1">
        <v>336</v>
      </c>
      <c r="C171" s="1">
        <v>1495.4651450301342</v>
      </c>
      <c r="D171">
        <f t="shared" si="13"/>
        <v>-747.73257251506709</v>
      </c>
      <c r="E171">
        <f t="shared" si="14"/>
        <v>747.73257251506709</v>
      </c>
      <c r="F171" s="7">
        <f t="shared" si="18"/>
        <v>348094.25638852146</v>
      </c>
      <c r="G171" s="2">
        <f t="shared" si="15"/>
        <v>336</v>
      </c>
      <c r="J171" s="2">
        <v>1495.4651450301342</v>
      </c>
      <c r="K171" s="2">
        <f t="shared" si="16"/>
        <v>-747.73257251506709</v>
      </c>
      <c r="L171" s="2">
        <f t="shared" si="17"/>
        <v>747.73257251506709</v>
      </c>
    </row>
    <row r="172" spans="1:12" x14ac:dyDescent="0.25">
      <c r="A172">
        <v>170</v>
      </c>
      <c r="B172" s="1">
        <v>338</v>
      </c>
      <c r="C172" s="1">
        <v>1499.0076717615557</v>
      </c>
      <c r="D172">
        <f t="shared" si="13"/>
        <v>-749.50383588077784</v>
      </c>
      <c r="E172">
        <f t="shared" si="14"/>
        <v>749.50383588077784</v>
      </c>
      <c r="F172" s="7">
        <f t="shared" si="18"/>
        <v>351088.72920531314</v>
      </c>
      <c r="G172" s="2">
        <f t="shared" si="15"/>
        <v>338</v>
      </c>
      <c r="J172" s="2">
        <v>1499.0076717615557</v>
      </c>
      <c r="K172" s="2">
        <f t="shared" si="16"/>
        <v>-749.50383588077784</v>
      </c>
      <c r="L172" s="2">
        <f t="shared" si="17"/>
        <v>749.50383588077784</v>
      </c>
    </row>
    <row r="173" spans="1:12" x14ac:dyDescent="0.25">
      <c r="A173">
        <v>171</v>
      </c>
      <c r="B173" s="1">
        <v>340</v>
      </c>
      <c r="C173" s="1">
        <v>1502.5311976794358</v>
      </c>
      <c r="D173">
        <f t="shared" si="13"/>
        <v>-751.26559883971788</v>
      </c>
      <c r="E173">
        <f t="shared" si="14"/>
        <v>751.26559883971788</v>
      </c>
      <c r="F173" s="7">
        <f t="shared" si="18"/>
        <v>354090.2680747541</v>
      </c>
      <c r="G173" s="2">
        <f t="shared" si="15"/>
        <v>340</v>
      </c>
      <c r="J173" s="2">
        <v>1502.5311976794358</v>
      </c>
      <c r="K173" s="2">
        <f t="shared" si="16"/>
        <v>-751.26559883971788</v>
      </c>
      <c r="L173" s="2">
        <f t="shared" si="17"/>
        <v>751.26559883971788</v>
      </c>
    </row>
    <row r="174" spans="1:12" x14ac:dyDescent="0.25">
      <c r="A174">
        <v>172</v>
      </c>
      <c r="B174" s="1">
        <v>342</v>
      </c>
      <c r="C174" s="1">
        <v>1506.0358561468581</v>
      </c>
      <c r="D174">
        <f t="shared" si="13"/>
        <v>-753.01792807342906</v>
      </c>
      <c r="E174">
        <f t="shared" si="14"/>
        <v>753.01792807342906</v>
      </c>
      <c r="F174" s="7">
        <f t="shared" si="18"/>
        <v>357098.83512858039</v>
      </c>
      <c r="G174" s="2">
        <f t="shared" si="15"/>
        <v>342</v>
      </c>
      <c r="J174" s="2">
        <v>1506.0358561468581</v>
      </c>
      <c r="K174" s="2">
        <f t="shared" si="16"/>
        <v>-753.01792807342906</v>
      </c>
      <c r="L174" s="2">
        <f t="shared" si="17"/>
        <v>753.01792807342906</v>
      </c>
    </row>
    <row r="175" spans="1:12" x14ac:dyDescent="0.25">
      <c r="A175">
        <v>173</v>
      </c>
      <c r="B175" s="1">
        <v>344</v>
      </c>
      <c r="C175" s="1">
        <v>1509.5217785775733</v>
      </c>
      <c r="D175">
        <f t="shared" si="13"/>
        <v>-754.76088928878664</v>
      </c>
      <c r="E175">
        <f t="shared" si="14"/>
        <v>754.76088928878664</v>
      </c>
      <c r="F175" s="7">
        <f t="shared" si="18"/>
        <v>360114.39276330482</v>
      </c>
      <c r="G175" s="2">
        <f t="shared" si="15"/>
        <v>344</v>
      </c>
      <c r="J175" s="2">
        <v>1509.5217785775733</v>
      </c>
      <c r="K175" s="2">
        <f t="shared" si="16"/>
        <v>-754.76088928878664</v>
      </c>
      <c r="L175" s="2">
        <f t="shared" si="17"/>
        <v>754.76088928878664</v>
      </c>
    </row>
    <row r="176" spans="1:12" x14ac:dyDescent="0.25">
      <c r="A176">
        <v>174</v>
      </c>
      <c r="B176" s="1">
        <v>346</v>
      </c>
      <c r="C176" s="1">
        <v>1512.9890944749072</v>
      </c>
      <c r="D176">
        <f t="shared" si="13"/>
        <v>-756.49454723745362</v>
      </c>
      <c r="E176">
        <f t="shared" si="14"/>
        <v>756.49454723745362</v>
      </c>
      <c r="F176" s="7">
        <f t="shared" si="18"/>
        <v>363136.90363635728</v>
      </c>
      <c r="G176" s="2">
        <f t="shared" si="15"/>
        <v>346</v>
      </c>
      <c r="J176" s="2">
        <v>1512.9890944749072</v>
      </c>
      <c r="K176" s="2">
        <f t="shared" si="16"/>
        <v>-756.49454723745362</v>
      </c>
      <c r="L176" s="2">
        <f t="shared" si="17"/>
        <v>756.49454723745362</v>
      </c>
    </row>
    <row r="177" spans="1:12" x14ac:dyDescent="0.25">
      <c r="A177">
        <v>175</v>
      </c>
      <c r="B177" s="1">
        <v>348</v>
      </c>
      <c r="C177" s="1">
        <v>1516.4379314696662</v>
      </c>
      <c r="D177">
        <f t="shared" si="13"/>
        <v>-758.21896573483309</v>
      </c>
      <c r="E177">
        <f t="shared" si="14"/>
        <v>758.21896573483309</v>
      </c>
      <c r="F177" s="7">
        <f t="shared" si="18"/>
        <v>366166.33066230186</v>
      </c>
      <c r="G177" s="2">
        <f t="shared" si="15"/>
        <v>348</v>
      </c>
      <c r="J177" s="2">
        <v>1516.4379314696662</v>
      </c>
      <c r="K177" s="2">
        <f t="shared" si="16"/>
        <v>-758.21896573483309</v>
      </c>
      <c r="L177" s="2">
        <f t="shared" si="17"/>
        <v>758.21896573483309</v>
      </c>
    </row>
    <row r="178" spans="1:12" x14ac:dyDescent="0.25">
      <c r="A178">
        <v>176</v>
      </c>
      <c r="B178" s="1">
        <v>350</v>
      </c>
      <c r="C178" s="1">
        <v>1519.8684153570664</v>
      </c>
      <c r="D178">
        <f t="shared" si="13"/>
        <v>-759.9342076785332</v>
      </c>
      <c r="E178">
        <f t="shared" si="14"/>
        <v>759.9342076785332</v>
      </c>
      <c r="F178" s="7">
        <f t="shared" si="18"/>
        <v>369202.63700912858</v>
      </c>
      <c r="G178" s="2">
        <f t="shared" si="15"/>
        <v>350</v>
      </c>
      <c r="J178" s="2">
        <v>1519.8684153570664</v>
      </c>
      <c r="K178" s="2">
        <f t="shared" si="16"/>
        <v>-759.9342076785332</v>
      </c>
      <c r="L178" s="2">
        <f t="shared" si="17"/>
        <v>759.9342076785332</v>
      </c>
    </row>
    <row r="179" spans="1:12" x14ac:dyDescent="0.25">
      <c r="A179">
        <v>177</v>
      </c>
      <c r="B179" s="1">
        <v>352</v>
      </c>
      <c r="C179" s="1">
        <v>1523.2806701327238</v>
      </c>
      <c r="D179">
        <f t="shared" si="13"/>
        <v>-761.6403350663619</v>
      </c>
      <c r="E179">
        <f t="shared" si="14"/>
        <v>761.6403350663619</v>
      </c>
      <c r="F179" s="7">
        <f t="shared" si="18"/>
        <v>372245.78609461838</v>
      </c>
      <c r="G179" s="2">
        <f t="shared" si="15"/>
        <v>352</v>
      </c>
      <c r="J179" s="2">
        <v>1523.2806701327238</v>
      </c>
      <c r="K179" s="2">
        <f t="shared" si="16"/>
        <v>-761.6403350663619</v>
      </c>
      <c r="L179" s="2">
        <f t="shared" si="17"/>
        <v>761.6403350663619</v>
      </c>
    </row>
    <row r="180" spans="1:12" x14ac:dyDescent="0.25">
      <c r="A180">
        <v>178</v>
      </c>
      <c r="B180" s="1">
        <v>354</v>
      </c>
      <c r="C180" s="1">
        <v>1526.6748180277291</v>
      </c>
      <c r="D180">
        <f t="shared" si="13"/>
        <v>-763.33740901386454</v>
      </c>
      <c r="E180">
        <f t="shared" si="14"/>
        <v>763.33740901386454</v>
      </c>
      <c r="F180" s="7">
        <f t="shared" si="18"/>
        <v>375295.74158277881</v>
      </c>
      <c r="G180" s="2">
        <f t="shared" si="15"/>
        <v>354</v>
      </c>
      <c r="J180" s="2">
        <v>1526.6748180277291</v>
      </c>
      <c r="K180" s="2">
        <f t="shared" si="16"/>
        <v>-763.33740901386454</v>
      </c>
      <c r="L180" s="2">
        <f t="shared" si="17"/>
        <v>763.33740901386454</v>
      </c>
    </row>
    <row r="181" spans="1:12" x14ac:dyDescent="0.25">
      <c r="A181">
        <v>179</v>
      </c>
      <c r="B181" s="1">
        <v>356</v>
      </c>
      <c r="C181" s="1">
        <v>1530.0509795428386</v>
      </c>
      <c r="D181">
        <f t="shared" si="13"/>
        <v>-765.0254897714193</v>
      </c>
      <c r="E181">
        <f t="shared" si="14"/>
        <v>765.0254897714193</v>
      </c>
      <c r="F181" s="7">
        <f t="shared" si="18"/>
        <v>378352.46738034935</v>
      </c>
      <c r="G181" s="2">
        <f t="shared" si="15"/>
        <v>356</v>
      </c>
      <c r="J181" s="2">
        <v>1530.0509795428386</v>
      </c>
      <c r="K181" s="2">
        <f t="shared" si="16"/>
        <v>-765.0254897714193</v>
      </c>
      <c r="L181" s="2">
        <f t="shared" si="17"/>
        <v>765.0254897714193</v>
      </c>
    </row>
    <row r="182" spans="1:12" x14ac:dyDescent="0.25">
      <c r="A182">
        <v>180</v>
      </c>
      <c r="B182" s="1">
        <v>358</v>
      </c>
      <c r="C182" s="1">
        <v>1533.4092734818059</v>
      </c>
      <c r="D182">
        <f t="shared" si="13"/>
        <v>-766.70463674090297</v>
      </c>
      <c r="E182">
        <f t="shared" si="14"/>
        <v>766.70463674090297</v>
      </c>
      <c r="F182" s="7">
        <f t="shared" si="18"/>
        <v>381415.927633374</v>
      </c>
      <c r="G182" s="2">
        <f t="shared" si="15"/>
        <v>358</v>
      </c>
      <c r="J182" s="2">
        <v>1533.4092734818059</v>
      </c>
      <c r="K182" s="2">
        <f t="shared" si="16"/>
        <v>-766.70463674090297</v>
      </c>
      <c r="L182" s="2">
        <f t="shared" si="17"/>
        <v>766.70463674090297</v>
      </c>
    </row>
    <row r="183" spans="1:12" x14ac:dyDescent="0.25">
      <c r="A183">
        <v>181</v>
      </c>
      <c r="B183" s="1">
        <v>360</v>
      </c>
      <c r="C183" s="1">
        <v>1536.7498169838836</v>
      </c>
      <c r="D183">
        <f t="shared" si="13"/>
        <v>-768.37490849194182</v>
      </c>
      <c r="E183">
        <f t="shared" si="14"/>
        <v>768.37490849194182</v>
      </c>
      <c r="F183" s="7">
        <f t="shared" si="18"/>
        <v>384486.08672383969</v>
      </c>
      <c r="G183" s="2">
        <f t="shared" si="15"/>
        <v>360</v>
      </c>
      <c r="J183" s="2">
        <v>1536.7498169838836</v>
      </c>
      <c r="K183" s="2">
        <f t="shared" si="16"/>
        <v>-768.37490849194182</v>
      </c>
      <c r="L183" s="2">
        <f t="shared" si="17"/>
        <v>768.37490849194182</v>
      </c>
    </row>
    <row r="184" spans="1:12" x14ac:dyDescent="0.25">
      <c r="A184">
        <v>182</v>
      </c>
      <c r="B184" s="1">
        <v>362</v>
      </c>
      <c r="C184" s="1">
        <v>1540.0727255555173</v>
      </c>
      <c r="D184">
        <f t="shared" si="13"/>
        <v>-770.03636277775865</v>
      </c>
      <c r="E184">
        <f t="shared" si="14"/>
        <v>770.03636277775865</v>
      </c>
      <c r="F184" s="7">
        <f t="shared" si="18"/>
        <v>387562.90926637908</v>
      </c>
      <c r="G184" s="2">
        <f t="shared" si="15"/>
        <v>362</v>
      </c>
      <c r="J184" s="2">
        <v>1540.0727255555173</v>
      </c>
      <c r="K184" s="2">
        <f t="shared" si="16"/>
        <v>-770.03636277775865</v>
      </c>
      <c r="L184" s="2">
        <f t="shared" si="17"/>
        <v>770.03636277775865</v>
      </c>
    </row>
    <row r="185" spans="1:12" x14ac:dyDescent="0.25">
      <c r="A185">
        <v>183</v>
      </c>
      <c r="B185" s="1">
        <v>364</v>
      </c>
      <c r="C185" s="1">
        <v>1543.3781131012581</v>
      </c>
      <c r="D185">
        <f t="shared" si="13"/>
        <v>-771.68905655062906</v>
      </c>
      <c r="E185">
        <f t="shared" si="14"/>
        <v>771.68905655062906</v>
      </c>
      <c r="F185" s="7">
        <f t="shared" si="18"/>
        <v>390646.36010503583</v>
      </c>
      <c r="G185" s="2">
        <f t="shared" si="15"/>
        <v>364</v>
      </c>
      <c r="J185" s="2">
        <v>1543.3781131012581</v>
      </c>
      <c r="K185" s="2">
        <f t="shared" si="16"/>
        <v>-771.68905655062906</v>
      </c>
      <c r="L185" s="2">
        <f t="shared" si="17"/>
        <v>771.68905655062906</v>
      </c>
    </row>
    <row r="186" spans="1:12" x14ac:dyDescent="0.25">
      <c r="A186">
        <v>184</v>
      </c>
      <c r="B186" s="1">
        <v>366</v>
      </c>
      <c r="C186" s="1">
        <v>1546.6660919539163</v>
      </c>
      <c r="D186">
        <f t="shared" si="13"/>
        <v>-773.33304597695815</v>
      </c>
      <c r="E186">
        <f t="shared" si="14"/>
        <v>773.33304597695815</v>
      </c>
      <c r="F186" s="7">
        <f t="shared" si="18"/>
        <v>393736.40431009099</v>
      </c>
      <c r="G186" s="2">
        <f t="shared" si="15"/>
        <v>366</v>
      </c>
      <c r="J186" s="2">
        <v>1546.6660919539163</v>
      </c>
      <c r="K186" s="2">
        <f t="shared" si="16"/>
        <v>-773.33304597695815</v>
      </c>
      <c r="L186" s="2">
        <f t="shared" si="17"/>
        <v>773.33304597695815</v>
      </c>
    </row>
    <row r="187" spans="1:12" x14ac:dyDescent="0.25">
      <c r="A187">
        <v>185</v>
      </c>
      <c r="B187" s="1">
        <v>368</v>
      </c>
      <c r="C187" s="1">
        <v>1549.9367729039789</v>
      </c>
      <c r="D187">
        <f t="shared" si="13"/>
        <v>-774.96838645198943</v>
      </c>
      <c r="E187">
        <f t="shared" si="14"/>
        <v>774.96838645198943</v>
      </c>
      <c r="F187" s="7">
        <f t="shared" si="18"/>
        <v>396833.00717494887</v>
      </c>
      <c r="G187" s="2">
        <f t="shared" si="15"/>
        <v>368</v>
      </c>
      <c r="J187" s="2">
        <v>1549.9367729039789</v>
      </c>
      <c r="K187" s="2">
        <f t="shared" si="16"/>
        <v>-774.96838645198943</v>
      </c>
      <c r="L187" s="2">
        <f t="shared" si="17"/>
        <v>774.96838645198943</v>
      </c>
    </row>
    <row r="188" spans="1:12" x14ac:dyDescent="0.25">
      <c r="A188">
        <v>186</v>
      </c>
      <c r="B188" s="1">
        <v>370</v>
      </c>
      <c r="C188" s="1">
        <v>1553.1902652283138</v>
      </c>
      <c r="D188">
        <f t="shared" si="13"/>
        <v>-776.59513261415691</v>
      </c>
      <c r="E188">
        <f t="shared" si="14"/>
        <v>776.59513261415691</v>
      </c>
      <c r="F188" s="7">
        <f t="shared" si="18"/>
        <v>399936.13421308115</v>
      </c>
      <c r="G188" s="2">
        <f t="shared" si="15"/>
        <v>370</v>
      </c>
      <c r="J188" s="2">
        <v>1553.1902652283138</v>
      </c>
      <c r="K188" s="2">
        <f t="shared" si="16"/>
        <v>-776.59513261415691</v>
      </c>
      <c r="L188" s="2">
        <f t="shared" si="17"/>
        <v>776.59513261415691</v>
      </c>
    </row>
    <row r="189" spans="1:12" x14ac:dyDescent="0.25">
      <c r="A189">
        <v>187</v>
      </c>
      <c r="B189" s="1">
        <v>372</v>
      </c>
      <c r="C189" s="1">
        <v>1556.4266767181807</v>
      </c>
      <c r="D189">
        <f t="shared" si="13"/>
        <v>-778.21333835909036</v>
      </c>
      <c r="E189">
        <f t="shared" si="14"/>
        <v>778.21333835909036</v>
      </c>
      <c r="F189" s="7">
        <f t="shared" si="18"/>
        <v>403045.75115502765</v>
      </c>
      <c r="G189" s="2">
        <f t="shared" si="15"/>
        <v>372</v>
      </c>
      <c r="J189" s="2">
        <v>1556.4266767181807</v>
      </c>
      <c r="K189" s="2">
        <f t="shared" si="16"/>
        <v>-778.21333835909036</v>
      </c>
      <c r="L189" s="2">
        <f t="shared" si="17"/>
        <v>778.21333835909036</v>
      </c>
    </row>
    <row r="190" spans="1:12" x14ac:dyDescent="0.25">
      <c r="A190">
        <v>188</v>
      </c>
      <c r="B190" s="1">
        <v>374</v>
      </c>
      <c r="C190" s="1">
        <v>1559.6461137065678</v>
      </c>
      <c r="D190">
        <f t="shared" si="13"/>
        <v>-779.8230568532839</v>
      </c>
      <c r="E190">
        <f t="shared" si="14"/>
        <v>779.8230568532839</v>
      </c>
      <c r="F190" s="7">
        <f t="shared" si="18"/>
        <v>406161.8239454524</v>
      </c>
      <c r="G190" s="2">
        <f t="shared" si="15"/>
        <v>374</v>
      </c>
      <c r="J190" s="2">
        <v>1559.6461137065678</v>
      </c>
      <c r="K190" s="2">
        <f t="shared" si="16"/>
        <v>-779.8230568532839</v>
      </c>
      <c r="L190" s="2">
        <f t="shared" si="17"/>
        <v>779.8230568532839</v>
      </c>
    </row>
    <row r="191" spans="1:12" x14ac:dyDescent="0.25">
      <c r="A191">
        <v>189</v>
      </c>
      <c r="B191" s="1">
        <v>376</v>
      </c>
      <c r="C191" s="1">
        <v>1562.8486810948782</v>
      </c>
      <c r="D191">
        <f t="shared" si="13"/>
        <v>-781.4243405474391</v>
      </c>
      <c r="E191">
        <f t="shared" si="14"/>
        <v>781.4243405474391</v>
      </c>
      <c r="F191" s="7">
        <f t="shared" si="18"/>
        <v>409284.31874025386</v>
      </c>
      <c r="G191" s="2">
        <f t="shared" si="15"/>
        <v>376</v>
      </c>
      <c r="J191" s="2">
        <v>1562.8486810948782</v>
      </c>
      <c r="K191" s="2">
        <f t="shared" si="16"/>
        <v>-781.4243405474391</v>
      </c>
      <c r="L191" s="2">
        <f t="shared" si="17"/>
        <v>781.4243405474391</v>
      </c>
    </row>
    <row r="192" spans="1:12" x14ac:dyDescent="0.25">
      <c r="A192">
        <v>190</v>
      </c>
      <c r="B192" s="1">
        <v>378</v>
      </c>
      <c r="C192" s="1">
        <v>1566.0344823789801</v>
      </c>
      <c r="D192">
        <f t="shared" si="13"/>
        <v>-783.01724118949005</v>
      </c>
      <c r="E192">
        <f t="shared" si="14"/>
        <v>783.01724118949005</v>
      </c>
      <c r="F192" s="7">
        <f t="shared" si="18"/>
        <v>412413.20190372772</v>
      </c>
      <c r="G192" s="2">
        <f t="shared" si="15"/>
        <v>378</v>
      </c>
      <c r="J192" s="2">
        <v>1566.0344823789801</v>
      </c>
      <c r="K192" s="2">
        <f t="shared" si="16"/>
        <v>-783.01724118949005</v>
      </c>
      <c r="L192" s="2">
        <f t="shared" si="17"/>
        <v>783.01724118949005</v>
      </c>
    </row>
    <row r="193" spans="1:12" x14ac:dyDescent="0.25">
      <c r="A193">
        <v>191</v>
      </c>
      <c r="B193" s="1">
        <v>380</v>
      </c>
      <c r="C193" s="1">
        <v>1569.2036196746424</v>
      </c>
      <c r="D193">
        <f t="shared" si="13"/>
        <v>-784.60180983732118</v>
      </c>
      <c r="E193">
        <f t="shared" si="14"/>
        <v>784.60180983732118</v>
      </c>
      <c r="F193" s="7">
        <f t="shared" si="18"/>
        <v>415548.44000578136</v>
      </c>
      <c r="G193" s="2">
        <f t="shared" si="15"/>
        <v>380</v>
      </c>
      <c r="J193" s="2">
        <v>1569.2036196746424</v>
      </c>
      <c r="K193" s="2">
        <f t="shared" si="16"/>
        <v>-784.60180983732118</v>
      </c>
      <c r="L193" s="2">
        <f t="shared" si="17"/>
        <v>784.60180983732118</v>
      </c>
    </row>
    <row r="194" spans="1:12" x14ac:dyDescent="0.25">
      <c r="A194">
        <v>192</v>
      </c>
      <c r="B194" s="1">
        <v>382</v>
      </c>
      <c r="C194" s="1">
        <v>1572.3561937423722</v>
      </c>
      <c r="D194">
        <f t="shared" si="13"/>
        <v>-786.17809687118609</v>
      </c>
      <c r="E194">
        <f t="shared" si="14"/>
        <v>786.17809687118609</v>
      </c>
      <c r="F194" s="7">
        <f t="shared" si="18"/>
        <v>418689.99981919839</v>
      </c>
      <c r="G194" s="2">
        <f t="shared" si="15"/>
        <v>382</v>
      </c>
      <c r="J194" s="2">
        <v>1572.3561937423722</v>
      </c>
      <c r="K194" s="2">
        <f t="shared" si="16"/>
        <v>-786.17809687118609</v>
      </c>
      <c r="L194" s="2">
        <f t="shared" si="17"/>
        <v>786.17809687118609</v>
      </c>
    </row>
    <row r="195" spans="1:12" x14ac:dyDescent="0.25">
      <c r="A195">
        <v>193</v>
      </c>
      <c r="B195" s="1">
        <v>384</v>
      </c>
      <c r="C195" s="1">
        <v>1575.4923040116698</v>
      </c>
      <c r="D195">
        <f t="shared" si="13"/>
        <v>-787.74615200583492</v>
      </c>
      <c r="E195">
        <f t="shared" si="14"/>
        <v>787.74615200583492</v>
      </c>
      <c r="F195" s="7">
        <f t="shared" si="18"/>
        <v>421837.84831695241</v>
      </c>
      <c r="G195" s="2">
        <f t="shared" si="15"/>
        <v>384</v>
      </c>
      <c r="J195" s="2">
        <v>1575.4923040116698</v>
      </c>
      <c r="K195" s="2">
        <f t="shared" si="16"/>
        <v>-787.74615200583492</v>
      </c>
      <c r="L195" s="2">
        <f t="shared" si="17"/>
        <v>787.74615200583492</v>
      </c>
    </row>
    <row r="196" spans="1:12" x14ac:dyDescent="0.25">
      <c r="A196">
        <v>194</v>
      </c>
      <c r="B196" s="1">
        <v>386</v>
      </c>
      <c r="C196" s="1">
        <v>1578.612048604723</v>
      </c>
      <c r="D196">
        <f t="shared" ref="D196:D259" si="19">IF(A196&lt;=COUNT(B:B),-1*C196/2,NA())</f>
        <v>-789.30602430236149</v>
      </c>
      <c r="E196">
        <f t="shared" ref="E196:E259" si="20">IF(A196&lt;=COUNT(B:B),C196/2,NA())</f>
        <v>789.30602430236149</v>
      </c>
      <c r="F196" s="7">
        <f t="shared" si="18"/>
        <v>424991.95266956883</v>
      </c>
      <c r="G196" s="2">
        <f t="shared" ref="G196:G259" si="21">B196-$B$3</f>
        <v>386</v>
      </c>
      <c r="J196" s="2">
        <v>1578.612048604723</v>
      </c>
      <c r="K196" s="2">
        <f t="shared" ref="K196:K259" si="22">IF(A196&lt;=COUNT(B:B),$J196/2*-1,NA())</f>
        <v>-789.30602430236149</v>
      </c>
      <c r="L196" s="2">
        <f t="shared" ref="L196:L259" si="23">IF(A196&lt;=COUNT(B:B),$J196/2,NA())</f>
        <v>789.30602430236149</v>
      </c>
    </row>
    <row r="197" spans="1:12" x14ac:dyDescent="0.25">
      <c r="A197">
        <v>195</v>
      </c>
      <c r="B197" s="1">
        <v>388</v>
      </c>
      <c r="C197" s="1">
        <v>1581.715524359548</v>
      </c>
      <c r="D197">
        <f t="shared" si="19"/>
        <v>-790.857762179774</v>
      </c>
      <c r="E197">
        <f t="shared" si="20"/>
        <v>790.857762179774</v>
      </c>
      <c r="F197" s="7">
        <f t="shared" ref="F197:F260" si="24">IF(A196&lt;COUNT(B:B),(($C197+$C196)*(B197-B196)/2)+F196,"")</f>
        <v>428152.28024253307</v>
      </c>
      <c r="G197" s="2">
        <f t="shared" si="21"/>
        <v>388</v>
      </c>
      <c r="J197" s="2">
        <v>1581.715524359548</v>
      </c>
      <c r="K197" s="2">
        <f t="shared" si="22"/>
        <v>-790.857762179774</v>
      </c>
      <c r="L197" s="2">
        <f t="shared" si="23"/>
        <v>790.857762179774</v>
      </c>
    </row>
    <row r="198" spans="1:12" x14ac:dyDescent="0.25">
      <c r="A198">
        <v>196</v>
      </c>
      <c r="B198" s="1">
        <v>390</v>
      </c>
      <c r="C198" s="1">
        <v>1584.8028268526025</v>
      </c>
      <c r="D198">
        <f t="shared" si="19"/>
        <v>-792.40141342630125</v>
      </c>
      <c r="E198">
        <f t="shared" si="20"/>
        <v>792.40141342630125</v>
      </c>
      <c r="F198" s="7">
        <f t="shared" si="24"/>
        <v>431318.79859374522</v>
      </c>
      <c r="G198" s="2">
        <f t="shared" si="21"/>
        <v>390</v>
      </c>
      <c r="J198" s="2">
        <v>1584.8028268526025</v>
      </c>
      <c r="K198" s="2">
        <f t="shared" si="22"/>
        <v>-792.40141342630125</v>
      </c>
      <c r="L198" s="2">
        <f t="shared" si="23"/>
        <v>792.40141342630125</v>
      </c>
    </row>
    <row r="199" spans="1:12" x14ac:dyDescent="0.25">
      <c r="A199">
        <v>197</v>
      </c>
      <c r="B199" s="1">
        <v>392</v>
      </c>
      <c r="C199" s="1">
        <v>1587.8740504208765</v>
      </c>
      <c r="D199">
        <f t="shared" si="19"/>
        <v>-793.93702521043826</v>
      </c>
      <c r="E199">
        <f t="shared" si="20"/>
        <v>793.93702521043826</v>
      </c>
      <c r="F199" s="7">
        <f t="shared" si="24"/>
        <v>434491.4754710187</v>
      </c>
      <c r="G199" s="2">
        <f t="shared" si="21"/>
        <v>392</v>
      </c>
      <c r="J199" s="2">
        <v>1587.8740504208765</v>
      </c>
      <c r="K199" s="2">
        <f t="shared" si="22"/>
        <v>-793.93702521043826</v>
      </c>
      <c r="L199" s="2">
        <f t="shared" si="23"/>
        <v>793.93702521043826</v>
      </c>
    </row>
    <row r="200" spans="1:12" x14ac:dyDescent="0.25">
      <c r="A200">
        <v>198</v>
      </c>
      <c r="B200" s="1">
        <v>394</v>
      </c>
      <c r="C200" s="1">
        <v>1590.9292881834817</v>
      </c>
      <c r="D200">
        <f t="shared" si="19"/>
        <v>-795.46464409174087</v>
      </c>
      <c r="E200">
        <f t="shared" si="20"/>
        <v>795.46464409174087</v>
      </c>
      <c r="F200" s="7">
        <f t="shared" si="24"/>
        <v>437670.27880962304</v>
      </c>
      <c r="G200" s="2">
        <f t="shared" si="21"/>
        <v>394</v>
      </c>
      <c r="J200" s="2">
        <v>1590.9292881834817</v>
      </c>
      <c r="K200" s="2">
        <f t="shared" si="22"/>
        <v>-795.46464409174087</v>
      </c>
      <c r="L200" s="2">
        <f t="shared" si="23"/>
        <v>795.46464409174087</v>
      </c>
    </row>
    <row r="201" spans="1:12" x14ac:dyDescent="0.25">
      <c r="A201">
        <v>199</v>
      </c>
      <c r="B201" s="1">
        <v>396</v>
      </c>
      <c r="C201" s="1">
        <v>1593.9686320627518</v>
      </c>
      <c r="D201">
        <f t="shared" si="19"/>
        <v>-796.9843160313759</v>
      </c>
      <c r="E201">
        <f t="shared" si="20"/>
        <v>796.9843160313759</v>
      </c>
      <c r="F201" s="7">
        <f t="shared" si="24"/>
        <v>440855.17672986927</v>
      </c>
      <c r="G201" s="2">
        <f t="shared" si="21"/>
        <v>396</v>
      </c>
      <c r="J201" s="2">
        <v>1593.9686320627518</v>
      </c>
      <c r="K201" s="2">
        <f t="shared" si="22"/>
        <v>-796.9843160313759</v>
      </c>
      <c r="L201" s="2">
        <f t="shared" si="23"/>
        <v>796.9843160313759</v>
      </c>
    </row>
    <row r="202" spans="1:12" x14ac:dyDescent="0.25">
      <c r="A202">
        <v>200</v>
      </c>
      <c r="B202" s="1">
        <v>398</v>
      </c>
      <c r="C202" s="1">
        <v>1596.9921728048639</v>
      </c>
      <c r="D202">
        <f t="shared" si="19"/>
        <v>-798.49608640243196</v>
      </c>
      <c r="E202">
        <f t="shared" si="20"/>
        <v>798.49608640243196</v>
      </c>
      <c r="F202" s="7">
        <f t="shared" si="24"/>
        <v>444046.13753473689</v>
      </c>
      <c r="G202" s="2">
        <f t="shared" si="21"/>
        <v>398</v>
      </c>
      <c r="J202" s="2">
        <v>1596.9921728048639</v>
      </c>
      <c r="K202" s="2">
        <f t="shared" si="22"/>
        <v>-798.49608640243196</v>
      </c>
      <c r="L202" s="2">
        <f t="shared" si="23"/>
        <v>798.49608640243196</v>
      </c>
    </row>
    <row r="203" spans="1:12" x14ac:dyDescent="0.25">
      <c r="A203">
        <v>201</v>
      </c>
      <c r="B203" s="1">
        <v>400</v>
      </c>
      <c r="C203" s="1">
        <v>1600</v>
      </c>
      <c r="D203">
        <f t="shared" si="19"/>
        <v>-800</v>
      </c>
      <c r="E203">
        <f t="shared" si="20"/>
        <v>800</v>
      </c>
      <c r="F203" s="7">
        <f t="shared" si="24"/>
        <v>447243.12970754172</v>
      </c>
      <c r="G203" s="2">
        <f t="shared" si="21"/>
        <v>400</v>
      </c>
      <c r="J203" s="2">
        <v>1600</v>
      </c>
      <c r="K203" s="2">
        <f t="shared" si="22"/>
        <v>-800</v>
      </c>
      <c r="L203" s="2">
        <f t="shared" si="23"/>
        <v>800</v>
      </c>
    </row>
    <row r="204" spans="1:12" x14ac:dyDescent="0.25">
      <c r="A204">
        <v>202</v>
      </c>
      <c r="B204" s="1">
        <v>402</v>
      </c>
      <c r="C204" s="1">
        <v>1602.9922021020564</v>
      </c>
      <c r="D204">
        <f t="shared" si="19"/>
        <v>-801.49610105102818</v>
      </c>
      <c r="E204">
        <f t="shared" si="20"/>
        <v>801.49610105102818</v>
      </c>
      <c r="F204" s="7">
        <f t="shared" si="24"/>
        <v>450446.12190964376</v>
      </c>
      <c r="G204" s="2">
        <f t="shared" si="21"/>
        <v>402</v>
      </c>
      <c r="J204" s="2">
        <v>1602.9922021020564</v>
      </c>
      <c r="K204" s="2">
        <f t="shared" si="22"/>
        <v>-801.49610105102818</v>
      </c>
      <c r="L204" s="2">
        <f t="shared" si="23"/>
        <v>801.49610105102818</v>
      </c>
    </row>
    <row r="205" spans="1:12" x14ac:dyDescent="0.25">
      <c r="A205">
        <v>203</v>
      </c>
      <c r="B205" s="1">
        <v>404</v>
      </c>
      <c r="C205" s="1">
        <v>1605.9688664479147</v>
      </c>
      <c r="D205">
        <f t="shared" si="19"/>
        <v>-802.98443322395735</v>
      </c>
      <c r="E205">
        <f t="shared" si="20"/>
        <v>802.98443322395735</v>
      </c>
      <c r="F205" s="7">
        <f t="shared" si="24"/>
        <v>453655.08297819371</v>
      </c>
      <c r="G205" s="2">
        <f t="shared" si="21"/>
        <v>404</v>
      </c>
      <c r="J205" s="2">
        <v>1605.9688664479147</v>
      </c>
      <c r="K205" s="2">
        <f t="shared" si="22"/>
        <v>-802.98443322395735</v>
      </c>
      <c r="L205" s="2">
        <f t="shared" si="23"/>
        <v>802.98443322395735</v>
      </c>
    </row>
    <row r="206" spans="1:12" x14ac:dyDescent="0.25">
      <c r="A206">
        <v>204</v>
      </c>
      <c r="B206" s="1">
        <v>406</v>
      </c>
      <c r="C206" s="1">
        <v>1608.9300792762872</v>
      </c>
      <c r="D206">
        <f t="shared" si="19"/>
        <v>-804.46503963814359</v>
      </c>
      <c r="E206">
        <f t="shared" si="20"/>
        <v>804.46503963814359</v>
      </c>
      <c r="F206" s="7">
        <f t="shared" si="24"/>
        <v>456869.98192391789</v>
      </c>
      <c r="G206" s="2">
        <f t="shared" si="21"/>
        <v>406</v>
      </c>
      <c r="J206" s="2">
        <v>1608.9300792762872</v>
      </c>
      <c r="K206" s="2">
        <f t="shared" si="22"/>
        <v>-804.46503963814359</v>
      </c>
      <c r="L206" s="2">
        <f t="shared" si="23"/>
        <v>804.46503963814359</v>
      </c>
    </row>
    <row r="207" spans="1:12" x14ac:dyDescent="0.25">
      <c r="A207">
        <v>205</v>
      </c>
      <c r="B207" s="1">
        <v>408</v>
      </c>
      <c r="C207" s="1">
        <v>1611.8759257461475</v>
      </c>
      <c r="D207">
        <f t="shared" si="19"/>
        <v>-805.93796287307373</v>
      </c>
      <c r="E207">
        <f t="shared" si="20"/>
        <v>805.93796287307373</v>
      </c>
      <c r="F207" s="7">
        <f t="shared" si="24"/>
        <v>460090.78792894032</v>
      </c>
      <c r="G207" s="2">
        <f t="shared" si="21"/>
        <v>408</v>
      </c>
      <c r="J207" s="2">
        <v>1611.8759257461475</v>
      </c>
      <c r="K207" s="2">
        <f t="shared" si="22"/>
        <v>-805.93796287307373</v>
      </c>
      <c r="L207" s="2">
        <f t="shared" si="23"/>
        <v>805.93796287307373</v>
      </c>
    </row>
    <row r="208" spans="1:12" x14ac:dyDescent="0.25">
      <c r="A208">
        <v>206</v>
      </c>
      <c r="B208" s="1">
        <v>410</v>
      </c>
      <c r="C208" s="1">
        <v>1614.8064899547562</v>
      </c>
      <c r="D208">
        <f t="shared" si="19"/>
        <v>-807.40324497737811</v>
      </c>
      <c r="E208">
        <f t="shared" si="20"/>
        <v>807.40324497737811</v>
      </c>
      <c r="F208" s="7">
        <f t="shared" si="24"/>
        <v>463317.47034464125</v>
      </c>
      <c r="G208" s="2">
        <f t="shared" si="21"/>
        <v>410</v>
      </c>
      <c r="J208" s="2">
        <v>1614.8064899547562</v>
      </c>
      <c r="K208" s="2">
        <f t="shared" si="22"/>
        <v>-807.40324497737811</v>
      </c>
      <c r="L208" s="2">
        <f t="shared" si="23"/>
        <v>807.40324497737811</v>
      </c>
    </row>
    <row r="209" spans="1:12" x14ac:dyDescent="0.25">
      <c r="A209">
        <v>207</v>
      </c>
      <c r="B209" s="1">
        <v>412</v>
      </c>
      <c r="C209" s="1">
        <v>1617.7218549552949</v>
      </c>
      <c r="D209">
        <f t="shared" si="19"/>
        <v>-808.86092747764746</v>
      </c>
      <c r="E209">
        <f t="shared" si="20"/>
        <v>808.86092747764746</v>
      </c>
      <c r="F209" s="7">
        <f t="shared" si="24"/>
        <v>466549.99868955131</v>
      </c>
      <c r="G209" s="2">
        <f t="shared" si="21"/>
        <v>412</v>
      </c>
      <c r="J209" s="2">
        <v>1617.7218549552949</v>
      </c>
      <c r="K209" s="2">
        <f t="shared" si="22"/>
        <v>-808.86092747764746</v>
      </c>
      <c r="L209" s="2">
        <f t="shared" si="23"/>
        <v>808.86092747764746</v>
      </c>
    </row>
    <row r="210" spans="1:12" x14ac:dyDescent="0.25">
      <c r="A210">
        <v>208</v>
      </c>
      <c r="B210" s="1">
        <v>414</v>
      </c>
      <c r="C210" s="1">
        <v>1620.6221027741169</v>
      </c>
      <c r="D210">
        <f t="shared" si="19"/>
        <v>-810.31105138705846</v>
      </c>
      <c r="E210">
        <f t="shared" si="20"/>
        <v>810.31105138705846</v>
      </c>
      <c r="F210" s="7">
        <f t="shared" si="24"/>
        <v>469788.34264728072</v>
      </c>
      <c r="G210" s="2">
        <f t="shared" si="21"/>
        <v>414</v>
      </c>
      <c r="J210" s="2">
        <v>1620.6221027741169</v>
      </c>
      <c r="K210" s="2">
        <f t="shared" si="22"/>
        <v>-810.31105138705846</v>
      </c>
      <c r="L210" s="2">
        <f t="shared" si="23"/>
        <v>810.31105138705846</v>
      </c>
    </row>
    <row r="211" spans="1:12" x14ac:dyDescent="0.25">
      <c r="A211">
        <v>209</v>
      </c>
      <c r="B211" s="1">
        <v>416</v>
      </c>
      <c r="C211" s="1">
        <v>1623.5073144276253</v>
      </c>
      <c r="D211">
        <f t="shared" si="19"/>
        <v>-811.75365721381263</v>
      </c>
      <c r="E211">
        <f t="shared" si="20"/>
        <v>811.75365721381263</v>
      </c>
      <c r="F211" s="7">
        <f t="shared" si="24"/>
        <v>473032.47206448246</v>
      </c>
      <c r="G211" s="2">
        <f t="shared" si="21"/>
        <v>416</v>
      </c>
      <c r="J211" s="2">
        <v>1623.5073144276253</v>
      </c>
      <c r="K211" s="2">
        <f t="shared" si="22"/>
        <v>-811.75365721381263</v>
      </c>
      <c r="L211" s="2">
        <f t="shared" si="23"/>
        <v>811.75365721381263</v>
      </c>
    </row>
    <row r="212" spans="1:12" x14ac:dyDescent="0.25">
      <c r="A212">
        <v>210</v>
      </c>
      <c r="B212" s="1">
        <v>418</v>
      </c>
      <c r="C212" s="1">
        <v>1626.3775699387888</v>
      </c>
      <c r="D212">
        <f t="shared" si="19"/>
        <v>-813.18878496939442</v>
      </c>
      <c r="E212">
        <f t="shared" si="20"/>
        <v>813.18878496939442</v>
      </c>
      <c r="F212" s="7">
        <f t="shared" si="24"/>
        <v>476282.35694884887</v>
      </c>
      <c r="G212" s="2">
        <f t="shared" si="21"/>
        <v>418</v>
      </c>
      <c r="J212" s="2">
        <v>1626.3775699387888</v>
      </c>
      <c r="K212" s="2">
        <f t="shared" si="22"/>
        <v>-813.18878496939442</v>
      </c>
      <c r="L212" s="2">
        <f t="shared" si="23"/>
        <v>813.18878496939442</v>
      </c>
    </row>
    <row r="213" spans="1:12" x14ac:dyDescent="0.25">
      <c r="A213">
        <v>211</v>
      </c>
      <c r="B213" s="1">
        <v>420</v>
      </c>
      <c r="C213" s="1">
        <v>1629.232948353304</v>
      </c>
      <c r="D213">
        <f t="shared" si="19"/>
        <v>-814.61647417665199</v>
      </c>
      <c r="E213">
        <f t="shared" si="20"/>
        <v>814.61647417665199</v>
      </c>
      <c r="F213" s="7">
        <f t="shared" si="24"/>
        <v>479537.96746714099</v>
      </c>
      <c r="G213" s="2">
        <f t="shared" si="21"/>
        <v>420</v>
      </c>
      <c r="J213" s="2">
        <v>1629.232948353304</v>
      </c>
      <c r="K213" s="2">
        <f t="shared" si="22"/>
        <v>-814.61647417665199</v>
      </c>
      <c r="L213" s="2">
        <f t="shared" si="23"/>
        <v>814.61647417665199</v>
      </c>
    </row>
    <row r="214" spans="1:12" x14ac:dyDescent="0.25">
      <c r="A214">
        <v>212</v>
      </c>
      <c r="B214" s="1">
        <v>422</v>
      </c>
      <c r="C214" s="1">
        <v>1632.0735277554134</v>
      </c>
      <c r="D214">
        <f t="shared" si="19"/>
        <v>-816.03676387770668</v>
      </c>
      <c r="E214">
        <f t="shared" si="20"/>
        <v>816.03676387770668</v>
      </c>
      <c r="F214" s="7">
        <f t="shared" si="24"/>
        <v>482799.27394324972</v>
      </c>
      <c r="G214" s="2">
        <f t="shared" si="21"/>
        <v>422</v>
      </c>
      <c r="J214" s="2">
        <v>1632.0735277554134</v>
      </c>
      <c r="K214" s="2">
        <f t="shared" si="22"/>
        <v>-816.03676387770668</v>
      </c>
      <c r="L214" s="2">
        <f t="shared" si="23"/>
        <v>816.03676387770668</v>
      </c>
    </row>
    <row r="215" spans="1:12" x14ac:dyDescent="0.25">
      <c r="A215">
        <v>213</v>
      </c>
      <c r="B215" s="1">
        <v>424</v>
      </c>
      <c r="C215" s="1">
        <v>1634.899385283388</v>
      </c>
      <c r="D215">
        <f t="shared" si="19"/>
        <v>-817.44969264169401</v>
      </c>
      <c r="E215">
        <f t="shared" si="20"/>
        <v>817.44969264169401</v>
      </c>
      <c r="F215" s="7">
        <f t="shared" si="24"/>
        <v>486066.24685628852</v>
      </c>
      <c r="G215" s="2">
        <f t="shared" si="21"/>
        <v>424</v>
      </c>
      <c r="J215" s="2">
        <v>1634.899385283388</v>
      </c>
      <c r="K215" s="2">
        <f t="shared" si="22"/>
        <v>-817.44969264169401</v>
      </c>
      <c r="L215" s="2">
        <f t="shared" si="23"/>
        <v>817.44969264169401</v>
      </c>
    </row>
    <row r="216" spans="1:12" x14ac:dyDescent="0.25">
      <c r="A216">
        <v>214</v>
      </c>
      <c r="B216" s="1">
        <v>426</v>
      </c>
      <c r="C216" s="1">
        <v>1637.7105971446847</v>
      </c>
      <c r="D216">
        <f t="shared" si="19"/>
        <v>-818.85529857234235</v>
      </c>
      <c r="E216">
        <f t="shared" si="20"/>
        <v>818.85529857234235</v>
      </c>
      <c r="F216" s="7">
        <f t="shared" si="24"/>
        <v>489338.8568387166</v>
      </c>
      <c r="G216" s="2">
        <f t="shared" si="21"/>
        <v>426</v>
      </c>
      <c r="J216" s="2">
        <v>1637.7105971446847</v>
      </c>
      <c r="K216" s="2">
        <f t="shared" si="22"/>
        <v>-818.85529857234235</v>
      </c>
      <c r="L216" s="2">
        <f t="shared" si="23"/>
        <v>818.85529857234235</v>
      </c>
    </row>
    <row r="217" spans="1:12" x14ac:dyDescent="0.25">
      <c r="A217">
        <v>215</v>
      </c>
      <c r="B217" s="1">
        <v>428</v>
      </c>
      <c r="C217" s="1">
        <v>1640.5072386307841</v>
      </c>
      <c r="D217">
        <f t="shared" si="19"/>
        <v>-820.25361931539203</v>
      </c>
      <c r="E217">
        <f t="shared" si="20"/>
        <v>820.25361931539203</v>
      </c>
      <c r="F217" s="7">
        <f t="shared" si="24"/>
        <v>492617.07467449206</v>
      </c>
      <c r="G217" s="2">
        <f t="shared" si="21"/>
        <v>428</v>
      </c>
      <c r="J217" s="2">
        <v>1640.5072386307841</v>
      </c>
      <c r="K217" s="2">
        <f t="shared" si="22"/>
        <v>-820.25361931539203</v>
      </c>
      <c r="L217" s="2">
        <f t="shared" si="23"/>
        <v>820.25361931539203</v>
      </c>
    </row>
    <row r="218" spans="1:12" x14ac:dyDescent="0.25">
      <c r="A218">
        <v>216</v>
      </c>
      <c r="B218" s="1">
        <v>430</v>
      </c>
      <c r="C218" s="1">
        <v>1643.2893841317177</v>
      </c>
      <c r="D218">
        <f t="shared" si="19"/>
        <v>-821.64469206585886</v>
      </c>
      <c r="E218">
        <f t="shared" si="20"/>
        <v>821.64469206585886</v>
      </c>
      <c r="F218" s="7">
        <f t="shared" si="24"/>
        <v>495900.87129725458</v>
      </c>
      <c r="G218" s="2">
        <f t="shared" si="21"/>
        <v>430</v>
      </c>
      <c r="J218" s="2">
        <v>1643.2893841317177</v>
      </c>
      <c r="K218" s="2">
        <f t="shared" si="22"/>
        <v>-821.64469206585886</v>
      </c>
      <c r="L218" s="2">
        <f t="shared" si="23"/>
        <v>821.64469206585886</v>
      </c>
    </row>
    <row r="219" spans="1:12" x14ac:dyDescent="0.25">
      <c r="A219">
        <v>217</v>
      </c>
      <c r="B219" s="1">
        <v>432</v>
      </c>
      <c r="C219" s="1">
        <v>1646.0571071502957</v>
      </c>
      <c r="D219">
        <f t="shared" si="19"/>
        <v>-823.02855357514784</v>
      </c>
      <c r="E219">
        <f t="shared" si="20"/>
        <v>823.02855357514784</v>
      </c>
      <c r="F219" s="7">
        <f t="shared" si="24"/>
        <v>499190.21778853657</v>
      </c>
      <c r="G219" s="2">
        <f t="shared" si="21"/>
        <v>432</v>
      </c>
      <c r="J219" s="2">
        <v>1646.0571071502957</v>
      </c>
      <c r="K219" s="2">
        <f t="shared" si="22"/>
        <v>-823.02855357514784</v>
      </c>
      <c r="L219" s="2">
        <f t="shared" si="23"/>
        <v>823.02855357514784</v>
      </c>
    </row>
    <row r="220" spans="1:12" x14ac:dyDescent="0.25">
      <c r="A220">
        <v>218</v>
      </c>
      <c r="B220" s="1">
        <v>434</v>
      </c>
      <c r="C220" s="1">
        <v>1648.8104803160368</v>
      </c>
      <c r="D220">
        <f t="shared" si="19"/>
        <v>-824.40524015801839</v>
      </c>
      <c r="E220">
        <f t="shared" si="20"/>
        <v>824.40524015801839</v>
      </c>
      <c r="F220" s="7">
        <f t="shared" si="24"/>
        <v>502485.08537600288</v>
      </c>
      <c r="G220" s="2">
        <f t="shared" si="21"/>
        <v>434</v>
      </c>
      <c r="J220" s="2">
        <v>1648.8104803160368</v>
      </c>
      <c r="K220" s="2">
        <f t="shared" si="22"/>
        <v>-824.40524015801839</v>
      </c>
      <c r="L220" s="2">
        <f t="shared" si="23"/>
        <v>824.40524015801839</v>
      </c>
    </row>
    <row r="221" spans="1:12" x14ac:dyDescent="0.25">
      <c r="A221">
        <v>219</v>
      </c>
      <c r="B221" s="1">
        <v>436</v>
      </c>
      <c r="C221" s="1">
        <v>1651.5495753988132</v>
      </c>
      <c r="D221">
        <f t="shared" si="19"/>
        <v>-825.7747876994066</v>
      </c>
      <c r="E221">
        <f t="shared" si="20"/>
        <v>825.7747876994066</v>
      </c>
      <c r="F221" s="7">
        <f t="shared" si="24"/>
        <v>505785.44543171773</v>
      </c>
      <c r="G221" s="2">
        <f t="shared" si="21"/>
        <v>436</v>
      </c>
      <c r="J221" s="2">
        <v>1651.5495753988132</v>
      </c>
      <c r="K221" s="2">
        <f t="shared" si="22"/>
        <v>-825.7747876994066</v>
      </c>
      <c r="L221" s="2">
        <f t="shared" si="23"/>
        <v>825.7747876994066</v>
      </c>
    </row>
    <row r="222" spans="1:12" x14ac:dyDescent="0.25">
      <c r="A222">
        <v>220</v>
      </c>
      <c r="B222" s="1">
        <v>438</v>
      </c>
      <c r="C222" s="1">
        <v>1654.2744633222142</v>
      </c>
      <c r="D222">
        <f t="shared" si="19"/>
        <v>-827.13723166110708</v>
      </c>
      <c r="E222">
        <f t="shared" si="20"/>
        <v>827.13723166110708</v>
      </c>
      <c r="F222" s="7">
        <f t="shared" si="24"/>
        <v>509091.26947043877</v>
      </c>
      <c r="G222" s="2">
        <f t="shared" si="21"/>
        <v>438</v>
      </c>
      <c r="J222" s="2">
        <v>1654.2744633222142</v>
      </c>
      <c r="K222" s="2">
        <f t="shared" si="22"/>
        <v>-827.13723166110708</v>
      </c>
      <c r="L222" s="2">
        <f t="shared" si="23"/>
        <v>827.13723166110708</v>
      </c>
    </row>
    <row r="223" spans="1:12" x14ac:dyDescent="0.25">
      <c r="A223">
        <v>221</v>
      </c>
      <c r="B223" s="1">
        <v>440</v>
      </c>
      <c r="C223" s="1">
        <v>1656.9852141766382</v>
      </c>
      <c r="D223">
        <f t="shared" si="19"/>
        <v>-828.49260708831912</v>
      </c>
      <c r="E223">
        <f t="shared" si="20"/>
        <v>828.49260708831912</v>
      </c>
      <c r="F223" s="7">
        <f t="shared" si="24"/>
        <v>512402.5291479376</v>
      </c>
      <c r="G223" s="2">
        <f t="shared" si="21"/>
        <v>440</v>
      </c>
      <c r="J223" s="2">
        <v>1656.9852141766382</v>
      </c>
      <c r="K223" s="2">
        <f t="shared" si="22"/>
        <v>-828.49260708831912</v>
      </c>
      <c r="L223" s="2">
        <f t="shared" si="23"/>
        <v>828.49260708831912</v>
      </c>
    </row>
    <row r="224" spans="1:12" x14ac:dyDescent="0.25">
      <c r="A224">
        <v>222</v>
      </c>
      <c r="B224" s="1">
        <v>442</v>
      </c>
      <c r="C224" s="1">
        <v>1659.6818972321171</v>
      </c>
      <c r="D224">
        <f t="shared" si="19"/>
        <v>-829.84094861605854</v>
      </c>
      <c r="E224">
        <f t="shared" si="20"/>
        <v>829.84094861605854</v>
      </c>
      <c r="F224" s="7">
        <f t="shared" si="24"/>
        <v>515719.19625934638</v>
      </c>
      <c r="G224" s="2">
        <f t="shared" si="21"/>
        <v>442</v>
      </c>
      <c r="J224" s="2">
        <v>1659.6818972321171</v>
      </c>
      <c r="K224" s="2">
        <f t="shared" si="22"/>
        <v>-829.84094861605854</v>
      </c>
      <c r="L224" s="2">
        <f t="shared" si="23"/>
        <v>829.84094861605854</v>
      </c>
    </row>
    <row r="225" spans="1:12" x14ac:dyDescent="0.25">
      <c r="A225">
        <v>223</v>
      </c>
      <c r="B225" s="1">
        <v>444</v>
      </c>
      <c r="C225" s="1">
        <v>1662.3645809508816</v>
      </c>
      <c r="D225">
        <f t="shared" si="19"/>
        <v>-831.18229047544082</v>
      </c>
      <c r="E225">
        <f t="shared" si="20"/>
        <v>831.18229047544082</v>
      </c>
      <c r="F225" s="7">
        <f t="shared" si="24"/>
        <v>519041.24273752939</v>
      </c>
      <c r="G225" s="2">
        <f t="shared" si="21"/>
        <v>444</v>
      </c>
      <c r="J225" s="2">
        <v>1662.3645809508816</v>
      </c>
      <c r="K225" s="2">
        <f t="shared" si="22"/>
        <v>-831.18229047544082</v>
      </c>
      <c r="L225" s="2">
        <f t="shared" si="23"/>
        <v>831.18229047544082</v>
      </c>
    </row>
    <row r="226" spans="1:12" x14ac:dyDescent="0.25">
      <c r="A226">
        <v>224</v>
      </c>
      <c r="B226" s="1">
        <v>446</v>
      </c>
      <c r="C226" s="1">
        <v>1665.0333329996731</v>
      </c>
      <c r="D226">
        <f t="shared" si="19"/>
        <v>-832.51666649983656</v>
      </c>
      <c r="E226">
        <f t="shared" si="20"/>
        <v>832.51666649983656</v>
      </c>
      <c r="F226" s="7">
        <f t="shared" si="24"/>
        <v>522368.64065147995</v>
      </c>
      <c r="G226" s="2">
        <f t="shared" si="21"/>
        <v>446</v>
      </c>
      <c r="J226" s="2">
        <v>1665.0333329996731</v>
      </c>
      <c r="K226" s="2">
        <f t="shared" si="22"/>
        <v>-832.51666649983656</v>
      </c>
      <c r="L226" s="2">
        <f t="shared" si="23"/>
        <v>832.51666649983656</v>
      </c>
    </row>
    <row r="227" spans="1:12" x14ac:dyDescent="0.25">
      <c r="A227">
        <v>225</v>
      </c>
      <c r="B227" s="1">
        <v>448</v>
      </c>
      <c r="C227" s="1">
        <v>1667.688220261809</v>
      </c>
      <c r="D227">
        <f t="shared" si="19"/>
        <v>-833.84411013090448</v>
      </c>
      <c r="E227">
        <f t="shared" si="20"/>
        <v>833.84411013090448</v>
      </c>
      <c r="F227" s="7">
        <f t="shared" si="24"/>
        <v>525701.36220474145</v>
      </c>
      <c r="G227" s="2">
        <f t="shared" si="21"/>
        <v>448</v>
      </c>
      <c r="J227" s="2">
        <v>1667.688220261809</v>
      </c>
      <c r="K227" s="2">
        <f t="shared" si="22"/>
        <v>-833.84411013090448</v>
      </c>
      <c r="L227" s="2">
        <f t="shared" si="23"/>
        <v>833.84411013090448</v>
      </c>
    </row>
    <row r="228" spans="1:12" x14ac:dyDescent="0.25">
      <c r="A228">
        <v>226</v>
      </c>
      <c r="B228" s="1">
        <v>450</v>
      </c>
      <c r="C228" s="1">
        <v>1670.3293088490066</v>
      </c>
      <c r="D228">
        <f t="shared" si="19"/>
        <v>-835.16465442450328</v>
      </c>
      <c r="E228">
        <f t="shared" si="20"/>
        <v>835.16465442450328</v>
      </c>
      <c r="F228" s="7">
        <f t="shared" si="24"/>
        <v>529039.37973385223</v>
      </c>
      <c r="G228" s="2">
        <f t="shared" si="21"/>
        <v>450</v>
      </c>
      <c r="J228" s="2">
        <v>1670.3293088490066</v>
      </c>
      <c r="K228" s="2">
        <f t="shared" si="22"/>
        <v>-835.16465442450328</v>
      </c>
      <c r="L228" s="2">
        <f t="shared" si="23"/>
        <v>835.16465442450328</v>
      </c>
    </row>
    <row r="229" spans="1:12" x14ac:dyDescent="0.25">
      <c r="A229">
        <v>227</v>
      </c>
      <c r="B229" s="1">
        <v>452</v>
      </c>
      <c r="C229" s="1">
        <v>1672.9566641129709</v>
      </c>
      <c r="D229">
        <f t="shared" si="19"/>
        <v>-836.47833205648544</v>
      </c>
      <c r="E229">
        <f t="shared" si="20"/>
        <v>836.47833205648544</v>
      </c>
      <c r="F229" s="7">
        <f t="shared" si="24"/>
        <v>532382.66570681415</v>
      </c>
      <c r="G229" s="2">
        <f t="shared" si="21"/>
        <v>452</v>
      </c>
      <c r="J229" s="2">
        <v>1672.9566641129709</v>
      </c>
      <c r="K229" s="2">
        <f t="shared" si="22"/>
        <v>-836.47833205648544</v>
      </c>
      <c r="L229" s="2">
        <f t="shared" si="23"/>
        <v>836.47833205648544</v>
      </c>
    </row>
    <row r="230" spans="1:12" x14ac:dyDescent="0.25">
      <c r="A230">
        <v>228</v>
      </c>
      <c r="B230" s="1">
        <v>454</v>
      </c>
      <c r="C230" s="1">
        <v>1675.5703506567547</v>
      </c>
      <c r="D230">
        <f t="shared" si="19"/>
        <v>-837.78517532837736</v>
      </c>
      <c r="E230">
        <f t="shared" si="20"/>
        <v>837.78517532837736</v>
      </c>
      <c r="F230" s="7">
        <f t="shared" si="24"/>
        <v>535731.19272158388</v>
      </c>
      <c r="G230" s="2">
        <f t="shared" si="21"/>
        <v>454</v>
      </c>
      <c r="J230" s="2">
        <v>1675.5703506567547</v>
      </c>
      <c r="K230" s="2">
        <f t="shared" si="22"/>
        <v>-837.78517532837736</v>
      </c>
      <c r="L230" s="2">
        <f t="shared" si="23"/>
        <v>837.78517532837736</v>
      </c>
    </row>
    <row r="231" spans="1:12" x14ac:dyDescent="0.25">
      <c r="A231">
        <v>229</v>
      </c>
      <c r="B231" s="1">
        <v>456</v>
      </c>
      <c r="C231" s="1">
        <v>1678.1704323458926</v>
      </c>
      <c r="D231">
        <f t="shared" si="19"/>
        <v>-839.08521617294628</v>
      </c>
      <c r="E231">
        <f t="shared" si="20"/>
        <v>839.08521617294628</v>
      </c>
      <c r="F231" s="7">
        <f t="shared" si="24"/>
        <v>539084.93350458657</v>
      </c>
      <c r="G231" s="2">
        <f t="shared" si="21"/>
        <v>456</v>
      </c>
      <c r="J231" s="2">
        <v>1678.1704323458926</v>
      </c>
      <c r="K231" s="2">
        <f t="shared" si="22"/>
        <v>-839.08521617294628</v>
      </c>
      <c r="L231" s="2">
        <f t="shared" si="23"/>
        <v>839.08521617294628</v>
      </c>
    </row>
    <row r="232" spans="1:12" x14ac:dyDescent="0.25">
      <c r="A232">
        <v>230</v>
      </c>
      <c r="B232" s="1">
        <v>458</v>
      </c>
      <c r="C232" s="1">
        <v>1680.7569723193178</v>
      </c>
      <c r="D232">
        <f t="shared" si="19"/>
        <v>-840.37848615965891</v>
      </c>
      <c r="E232">
        <f t="shared" si="20"/>
        <v>840.37848615965891</v>
      </c>
      <c r="F232" s="7">
        <f t="shared" si="24"/>
        <v>542443.86090925173</v>
      </c>
      <c r="G232" s="2">
        <f t="shared" si="21"/>
        <v>458</v>
      </c>
      <c r="J232" s="2">
        <v>1680.7569723193178</v>
      </c>
      <c r="K232" s="2">
        <f t="shared" si="22"/>
        <v>-840.37848615965891</v>
      </c>
      <c r="L232" s="2">
        <f t="shared" si="23"/>
        <v>840.37848615965891</v>
      </c>
    </row>
    <row r="233" spans="1:12" x14ac:dyDescent="0.25">
      <c r="A233">
        <v>231</v>
      </c>
      <c r="B233" s="1">
        <v>460</v>
      </c>
      <c r="C233" s="1">
        <v>1683.330033000065</v>
      </c>
      <c r="D233">
        <f t="shared" si="19"/>
        <v>-841.66501650003249</v>
      </c>
      <c r="E233">
        <f t="shared" si="20"/>
        <v>841.66501650003249</v>
      </c>
      <c r="F233" s="7">
        <f t="shared" si="24"/>
        <v>545807.94791457115</v>
      </c>
      <c r="G233" s="2">
        <f t="shared" si="21"/>
        <v>460</v>
      </c>
      <c r="J233" s="2">
        <v>1683.330033000065</v>
      </c>
      <c r="K233" s="2">
        <f t="shared" si="22"/>
        <v>-841.66501650003249</v>
      </c>
      <c r="L233" s="2">
        <f t="shared" si="23"/>
        <v>841.66501650003249</v>
      </c>
    </row>
    <row r="234" spans="1:12" x14ac:dyDescent="0.25">
      <c r="A234">
        <v>232</v>
      </c>
      <c r="B234" s="1">
        <v>462</v>
      </c>
      <c r="C234" s="1">
        <v>1685.8896761057647</v>
      </c>
      <c r="D234">
        <f t="shared" si="19"/>
        <v>-842.94483805288235</v>
      </c>
      <c r="E234">
        <f t="shared" si="20"/>
        <v>842.94483805288235</v>
      </c>
      <c r="F234" s="7">
        <f t="shared" si="24"/>
        <v>549177.16762367694</v>
      </c>
      <c r="G234" s="2">
        <f t="shared" si="21"/>
        <v>462</v>
      </c>
      <c r="J234" s="2">
        <v>1685.8896761057647</v>
      </c>
      <c r="K234" s="2">
        <f t="shared" si="22"/>
        <v>-842.94483805288235</v>
      </c>
      <c r="L234" s="2">
        <f t="shared" si="23"/>
        <v>842.94483805288235</v>
      </c>
    </row>
    <row r="235" spans="1:12" x14ac:dyDescent="0.25">
      <c r="A235">
        <v>233</v>
      </c>
      <c r="B235" s="1">
        <v>464</v>
      </c>
      <c r="C235" s="1">
        <v>1688.4359626589337</v>
      </c>
      <c r="D235">
        <f t="shared" si="19"/>
        <v>-844.21798132946685</v>
      </c>
      <c r="E235">
        <f t="shared" si="20"/>
        <v>844.21798132946685</v>
      </c>
      <c r="F235" s="7">
        <f t="shared" si="24"/>
        <v>552551.4932624416</v>
      </c>
      <c r="G235" s="2">
        <f t="shared" si="21"/>
        <v>464</v>
      </c>
      <c r="J235" s="2">
        <v>1688.4359626589337</v>
      </c>
      <c r="K235" s="2">
        <f t="shared" si="22"/>
        <v>-844.21798132946685</v>
      </c>
      <c r="L235" s="2">
        <f t="shared" si="23"/>
        <v>844.21798132946685</v>
      </c>
    </row>
    <row r="236" spans="1:12" x14ac:dyDescent="0.25">
      <c r="A236">
        <v>234</v>
      </c>
      <c r="B236" s="1">
        <v>466</v>
      </c>
      <c r="C236" s="1">
        <v>1690.9689529970678</v>
      </c>
      <c r="D236">
        <f t="shared" si="19"/>
        <v>-845.48447649853392</v>
      </c>
      <c r="E236">
        <f t="shared" si="20"/>
        <v>845.48447649853392</v>
      </c>
      <c r="F236" s="7">
        <f t="shared" si="24"/>
        <v>555930.89817809756</v>
      </c>
      <c r="G236" s="2">
        <f t="shared" si="21"/>
        <v>466</v>
      </c>
      <c r="J236" s="2">
        <v>1690.9689529970678</v>
      </c>
      <c r="K236" s="2">
        <f t="shared" si="22"/>
        <v>-845.48447649853392</v>
      </c>
      <c r="L236" s="2">
        <f t="shared" si="23"/>
        <v>845.48447649853392</v>
      </c>
    </row>
    <row r="237" spans="1:12" x14ac:dyDescent="0.25">
      <c r="A237">
        <v>235</v>
      </c>
      <c r="B237" s="1">
        <v>468</v>
      </c>
      <c r="C237" s="1">
        <v>1693.48870678254</v>
      </c>
      <c r="D237">
        <f t="shared" si="19"/>
        <v>-846.74435339127001</v>
      </c>
      <c r="E237">
        <f t="shared" si="20"/>
        <v>846.74435339127001</v>
      </c>
      <c r="F237" s="7">
        <f t="shared" si="24"/>
        <v>559315.35583787714</v>
      </c>
      <c r="G237" s="2">
        <f t="shared" si="21"/>
        <v>468</v>
      </c>
      <c r="J237" s="2">
        <v>1693.48870678254</v>
      </c>
      <c r="K237" s="2">
        <f t="shared" si="22"/>
        <v>-846.74435339127001</v>
      </c>
      <c r="L237" s="2">
        <f t="shared" si="23"/>
        <v>846.74435339127001</v>
      </c>
    </row>
    <row r="238" spans="1:12" x14ac:dyDescent="0.25">
      <c r="A238">
        <v>236</v>
      </c>
      <c r="B238" s="1">
        <v>470</v>
      </c>
      <c r="C238" s="1">
        <v>1695.9952830123084</v>
      </c>
      <c r="D238">
        <f t="shared" si="19"/>
        <v>-847.9976415061542</v>
      </c>
      <c r="E238">
        <f t="shared" si="20"/>
        <v>847.9976415061542</v>
      </c>
      <c r="F238" s="7">
        <f t="shared" si="24"/>
        <v>562704.839827672</v>
      </c>
      <c r="G238" s="2">
        <f t="shared" si="21"/>
        <v>470</v>
      </c>
      <c r="J238" s="2">
        <v>1695.9952830123084</v>
      </c>
      <c r="K238" s="2">
        <f t="shared" si="22"/>
        <v>-847.9976415061542</v>
      </c>
      <c r="L238" s="2">
        <f t="shared" si="23"/>
        <v>847.9976415061542</v>
      </c>
    </row>
    <row r="239" spans="1:12" x14ac:dyDescent="0.25">
      <c r="A239">
        <v>237</v>
      </c>
      <c r="B239" s="1">
        <v>472</v>
      </c>
      <c r="C239" s="1">
        <v>1698.4887400274399</v>
      </c>
      <c r="D239">
        <f t="shared" si="19"/>
        <v>-849.24437001371996</v>
      </c>
      <c r="E239">
        <f t="shared" si="20"/>
        <v>849.24437001371996</v>
      </c>
      <c r="F239" s="7">
        <f t="shared" si="24"/>
        <v>566099.32385071169</v>
      </c>
      <c r="G239" s="2">
        <f t="shared" si="21"/>
        <v>472</v>
      </c>
      <c r="J239" s="2">
        <v>1698.4887400274399</v>
      </c>
      <c r="K239" s="2">
        <f t="shared" si="22"/>
        <v>-849.24437001371996</v>
      </c>
      <c r="L239" s="2">
        <f t="shared" si="23"/>
        <v>849.24437001371996</v>
      </c>
    </row>
    <row r="240" spans="1:12" x14ac:dyDescent="0.25">
      <c r="A240">
        <v>238</v>
      </c>
      <c r="B240" s="1">
        <v>474</v>
      </c>
      <c r="C240" s="1">
        <v>1700.9691355224527</v>
      </c>
      <c r="D240">
        <f t="shared" si="19"/>
        <v>-850.48456776122634</v>
      </c>
      <c r="E240">
        <f t="shared" si="20"/>
        <v>850.48456776122634</v>
      </c>
      <c r="F240" s="7">
        <f t="shared" si="24"/>
        <v>569498.7817262616</v>
      </c>
      <c r="G240" s="2">
        <f t="shared" si="21"/>
        <v>474</v>
      </c>
      <c r="J240" s="2">
        <v>1700.9691355224527</v>
      </c>
      <c r="K240" s="2">
        <f t="shared" si="22"/>
        <v>-850.48456776122634</v>
      </c>
      <c r="L240" s="2">
        <f t="shared" si="23"/>
        <v>850.48456776122634</v>
      </c>
    </row>
    <row r="241" spans="1:12" x14ac:dyDescent="0.25">
      <c r="A241">
        <v>239</v>
      </c>
      <c r="B241" s="1">
        <v>476</v>
      </c>
      <c r="C241" s="1">
        <v>1703.4365265544825</v>
      </c>
      <c r="D241">
        <f t="shared" si="19"/>
        <v>-851.71826327724125</v>
      </c>
      <c r="E241">
        <f t="shared" si="20"/>
        <v>851.71826327724125</v>
      </c>
      <c r="F241" s="7">
        <f t="shared" si="24"/>
        <v>572903.1873883385</v>
      </c>
      <c r="G241" s="2">
        <f t="shared" si="21"/>
        <v>476</v>
      </c>
      <c r="J241" s="2">
        <v>1703.4365265544825</v>
      </c>
      <c r="K241" s="2">
        <f t="shared" si="22"/>
        <v>-851.71826327724125</v>
      </c>
      <c r="L241" s="2">
        <f t="shared" si="23"/>
        <v>851.71826327724125</v>
      </c>
    </row>
    <row r="242" spans="1:12" x14ac:dyDescent="0.25">
      <c r="A242">
        <v>240</v>
      </c>
      <c r="B242" s="1">
        <v>478</v>
      </c>
      <c r="C242" s="1">
        <v>1705.8909695522748</v>
      </c>
      <c r="D242">
        <f t="shared" si="19"/>
        <v>-852.94548477613739</v>
      </c>
      <c r="E242">
        <f t="shared" si="20"/>
        <v>852.94548477613739</v>
      </c>
      <c r="F242" s="7">
        <f t="shared" si="24"/>
        <v>576312.51488444523</v>
      </c>
      <c r="G242" s="2">
        <f t="shared" si="21"/>
        <v>478</v>
      </c>
      <c r="J242" s="2">
        <v>1705.8909695522748</v>
      </c>
      <c r="K242" s="2">
        <f t="shared" si="22"/>
        <v>-852.94548477613739</v>
      </c>
      <c r="L242" s="2">
        <f t="shared" si="23"/>
        <v>852.94548477613739</v>
      </c>
    </row>
    <row r="243" spans="1:12" x14ac:dyDescent="0.25">
      <c r="A243">
        <v>241</v>
      </c>
      <c r="B243" s="1">
        <v>480</v>
      </c>
      <c r="C243" s="1">
        <v>1708.3325203250097</v>
      </c>
      <c r="D243">
        <f t="shared" si="19"/>
        <v>-854.16626016250484</v>
      </c>
      <c r="E243">
        <f t="shared" si="20"/>
        <v>854.16626016250484</v>
      </c>
      <c r="F243" s="7">
        <f t="shared" si="24"/>
        <v>579726.73837432254</v>
      </c>
      <c r="G243" s="2">
        <f t="shared" si="21"/>
        <v>480</v>
      </c>
      <c r="J243" s="2">
        <v>1708.3325203250097</v>
      </c>
      <c r="K243" s="2">
        <f t="shared" si="22"/>
        <v>-854.16626016250484</v>
      </c>
      <c r="L243" s="2">
        <f t="shared" si="23"/>
        <v>854.16626016250484</v>
      </c>
    </row>
    <row r="244" spans="1:12" x14ac:dyDescent="0.25">
      <c r="A244">
        <v>242</v>
      </c>
      <c r="B244" s="1">
        <v>482</v>
      </c>
      <c r="C244" s="1">
        <v>1710.7612340709618</v>
      </c>
      <c r="D244">
        <f t="shared" si="19"/>
        <v>-855.3806170354809</v>
      </c>
      <c r="E244">
        <f t="shared" si="20"/>
        <v>855.3806170354809</v>
      </c>
      <c r="F244" s="7">
        <f t="shared" si="24"/>
        <v>583145.8321287185</v>
      </c>
      <c r="G244" s="2">
        <f t="shared" si="21"/>
        <v>482</v>
      </c>
      <c r="J244" s="2">
        <v>1710.7612340709618</v>
      </c>
      <c r="K244" s="2">
        <f t="shared" si="22"/>
        <v>-855.3806170354809</v>
      </c>
      <c r="L244" s="2">
        <f t="shared" si="23"/>
        <v>855.3806170354809</v>
      </c>
    </row>
    <row r="245" spans="1:12" x14ac:dyDescent="0.25">
      <c r="A245">
        <v>243</v>
      </c>
      <c r="B245" s="1">
        <v>484</v>
      </c>
      <c r="C245" s="1">
        <v>1713.1771653859971</v>
      </c>
      <c r="D245">
        <f t="shared" si="19"/>
        <v>-856.58858269299856</v>
      </c>
      <c r="E245">
        <f t="shared" si="20"/>
        <v>856.58858269299856</v>
      </c>
      <c r="F245" s="7">
        <f t="shared" si="24"/>
        <v>586569.7705281754</v>
      </c>
      <c r="G245" s="2">
        <f t="shared" si="21"/>
        <v>484</v>
      </c>
      <c r="J245" s="2">
        <v>1713.1771653859971</v>
      </c>
      <c r="K245" s="2">
        <f t="shared" si="22"/>
        <v>-856.58858269299856</v>
      </c>
      <c r="L245" s="2">
        <f t="shared" si="23"/>
        <v>856.58858269299856</v>
      </c>
    </row>
    <row r="246" spans="1:12" x14ac:dyDescent="0.25">
      <c r="A246">
        <v>244</v>
      </c>
      <c r="B246" s="1">
        <v>486</v>
      </c>
      <c r="C246" s="1">
        <v>1715.5803682719152</v>
      </c>
      <c r="D246">
        <f t="shared" si="19"/>
        <v>-857.79018413595759</v>
      </c>
      <c r="E246">
        <f t="shared" si="20"/>
        <v>857.79018413595759</v>
      </c>
      <c r="F246" s="7">
        <f t="shared" si="24"/>
        <v>589998.52806183335</v>
      </c>
      <c r="G246" s="2">
        <f t="shared" si="21"/>
        <v>486</v>
      </c>
      <c r="J246" s="2">
        <v>1715.5803682719152</v>
      </c>
      <c r="K246" s="2">
        <f t="shared" si="22"/>
        <v>-857.79018413595759</v>
      </c>
      <c r="L246" s="2">
        <f t="shared" si="23"/>
        <v>857.79018413595759</v>
      </c>
    </row>
    <row r="247" spans="1:12" x14ac:dyDescent="0.25">
      <c r="A247">
        <v>245</v>
      </c>
      <c r="B247" s="1">
        <v>488</v>
      </c>
      <c r="C247" s="1">
        <v>1717.9708961446349</v>
      </c>
      <c r="D247">
        <f t="shared" si="19"/>
        <v>-858.98544807231747</v>
      </c>
      <c r="E247">
        <f t="shared" si="20"/>
        <v>858.98544807231747</v>
      </c>
      <c r="F247" s="7">
        <f t="shared" si="24"/>
        <v>593432.07932624989</v>
      </c>
      <c r="G247" s="2">
        <f t="shared" si="21"/>
        <v>488</v>
      </c>
      <c r="J247" s="2">
        <v>1717.9708961446349</v>
      </c>
      <c r="K247" s="2">
        <f t="shared" si="22"/>
        <v>-858.98544807231747</v>
      </c>
      <c r="L247" s="2">
        <f t="shared" si="23"/>
        <v>858.98544807231747</v>
      </c>
    </row>
    <row r="248" spans="1:12" x14ac:dyDescent="0.25">
      <c r="A248">
        <v>246</v>
      </c>
      <c r="B248" s="1">
        <v>490</v>
      </c>
      <c r="C248" s="1">
        <v>1720.3488018422311</v>
      </c>
      <c r="D248">
        <f t="shared" si="19"/>
        <v>-860.17440092111553</v>
      </c>
      <c r="E248">
        <f t="shared" si="20"/>
        <v>860.17440092111553</v>
      </c>
      <c r="F248" s="7">
        <f t="shared" si="24"/>
        <v>596870.39902423671</v>
      </c>
      <c r="G248" s="2">
        <f t="shared" si="21"/>
        <v>490</v>
      </c>
      <c r="J248" s="2">
        <v>1720.3488018422311</v>
      </c>
      <c r="K248" s="2">
        <f t="shared" si="22"/>
        <v>-860.17440092111553</v>
      </c>
      <c r="L248" s="2">
        <f t="shared" si="23"/>
        <v>860.17440092111553</v>
      </c>
    </row>
    <row r="249" spans="1:12" x14ac:dyDescent="0.25">
      <c r="A249">
        <v>247</v>
      </c>
      <c r="B249" s="1">
        <v>492</v>
      </c>
      <c r="C249" s="1">
        <v>1722.7141376328227</v>
      </c>
      <c r="D249">
        <f t="shared" si="19"/>
        <v>-861.35706881641136</v>
      </c>
      <c r="E249">
        <f t="shared" si="20"/>
        <v>861.35706881641136</v>
      </c>
      <c r="F249" s="7">
        <f t="shared" si="24"/>
        <v>600313.46196371177</v>
      </c>
      <c r="G249" s="2">
        <f t="shared" si="21"/>
        <v>492</v>
      </c>
      <c r="J249" s="2">
        <v>1722.7141376328227</v>
      </c>
      <c r="K249" s="2">
        <f t="shared" si="22"/>
        <v>-861.35706881641136</v>
      </c>
      <c r="L249" s="2">
        <f t="shared" si="23"/>
        <v>861.35706881641136</v>
      </c>
    </row>
    <row r="250" spans="1:12" x14ac:dyDescent="0.25">
      <c r="A250">
        <v>248</v>
      </c>
      <c r="B250" s="1">
        <v>494</v>
      </c>
      <c r="C250" s="1">
        <v>1725.0669552223183</v>
      </c>
      <c r="D250">
        <f t="shared" si="19"/>
        <v>-862.53347761115913</v>
      </c>
      <c r="E250">
        <f t="shared" si="20"/>
        <v>862.53347761115913</v>
      </c>
      <c r="F250" s="7">
        <f t="shared" si="24"/>
        <v>603761.24305656692</v>
      </c>
      <c r="G250" s="2">
        <f t="shared" si="21"/>
        <v>494</v>
      </c>
      <c r="J250" s="2">
        <v>1725.0669552223183</v>
      </c>
      <c r="K250" s="2">
        <f t="shared" si="22"/>
        <v>-862.53347761115913</v>
      </c>
      <c r="L250" s="2">
        <f t="shared" si="23"/>
        <v>862.53347761115913</v>
      </c>
    </row>
    <row r="251" spans="1:12" x14ac:dyDescent="0.25">
      <c r="A251">
        <v>249</v>
      </c>
      <c r="B251" s="1">
        <v>496</v>
      </c>
      <c r="C251" s="1">
        <v>1727.4073057620199</v>
      </c>
      <c r="D251">
        <f t="shared" si="19"/>
        <v>-863.70365288100993</v>
      </c>
      <c r="E251">
        <f t="shared" si="20"/>
        <v>863.70365288100993</v>
      </c>
      <c r="F251" s="7">
        <f t="shared" si="24"/>
        <v>607213.71731755126</v>
      </c>
      <c r="G251" s="2">
        <f t="shared" si="21"/>
        <v>496</v>
      </c>
      <c r="J251" s="2">
        <v>1727.4073057620199</v>
      </c>
      <c r="K251" s="2">
        <f t="shared" si="22"/>
        <v>-863.70365288100993</v>
      </c>
      <c r="L251" s="2">
        <f t="shared" si="23"/>
        <v>863.70365288100993</v>
      </c>
    </row>
    <row r="252" spans="1:12" x14ac:dyDescent="0.25">
      <c r="A252">
        <v>250</v>
      </c>
      <c r="B252" s="1">
        <v>498</v>
      </c>
      <c r="C252" s="1">
        <v>1729.7352398560886</v>
      </c>
      <c r="D252">
        <f t="shared" si="19"/>
        <v>-864.86761992804429</v>
      </c>
      <c r="E252">
        <f t="shared" si="20"/>
        <v>864.86761992804429</v>
      </c>
      <c r="F252" s="7">
        <f t="shared" si="24"/>
        <v>610670.85986316937</v>
      </c>
      <c r="G252" s="2">
        <f t="shared" si="21"/>
        <v>498</v>
      </c>
      <c r="J252" s="2">
        <v>1729.7352398560886</v>
      </c>
      <c r="K252" s="2">
        <f t="shared" si="22"/>
        <v>-864.86761992804429</v>
      </c>
      <c r="L252" s="2">
        <f t="shared" si="23"/>
        <v>864.86761992804429</v>
      </c>
    </row>
    <row r="253" spans="1:12" x14ac:dyDescent="0.25">
      <c r="A253">
        <v>251</v>
      </c>
      <c r="B253" s="1">
        <v>500</v>
      </c>
      <c r="C253" s="1">
        <v>1732.0508075688772</v>
      </c>
      <c r="D253">
        <f t="shared" si="19"/>
        <v>-866.02540378443859</v>
      </c>
      <c r="E253">
        <f t="shared" si="20"/>
        <v>866.02540378443859</v>
      </c>
      <c r="F253" s="7">
        <f t="shared" si="24"/>
        <v>614132.64591059438</v>
      </c>
      <c r="G253" s="2">
        <f t="shared" si="21"/>
        <v>500</v>
      </c>
      <c r="J253" s="2">
        <v>1732.0508075688772</v>
      </c>
      <c r="K253" s="2">
        <f t="shared" si="22"/>
        <v>-866.02540378443859</v>
      </c>
      <c r="L253" s="2">
        <f t="shared" si="23"/>
        <v>866.02540378443859</v>
      </c>
    </row>
    <row r="254" spans="1:12" x14ac:dyDescent="0.25">
      <c r="A254">
        <v>252</v>
      </c>
      <c r="B254" s="1">
        <v>502</v>
      </c>
      <c r="C254" s="1">
        <v>1734.3540584321299</v>
      </c>
      <c r="D254">
        <f t="shared" si="19"/>
        <v>-867.17702921606497</v>
      </c>
      <c r="E254">
        <f t="shared" si="20"/>
        <v>867.17702921606497</v>
      </c>
      <c r="F254" s="7">
        <f t="shared" si="24"/>
        <v>617599.05077659537</v>
      </c>
      <c r="G254" s="2">
        <f t="shared" si="21"/>
        <v>502</v>
      </c>
      <c r="J254" s="2">
        <v>1734.3540584321299</v>
      </c>
      <c r="K254" s="2">
        <f t="shared" si="22"/>
        <v>-867.17702921606497</v>
      </c>
      <c r="L254" s="2">
        <f t="shared" si="23"/>
        <v>867.17702921606497</v>
      </c>
    </row>
    <row r="255" spans="1:12" x14ac:dyDescent="0.25">
      <c r="A255">
        <v>253</v>
      </c>
      <c r="B255" s="1">
        <v>504</v>
      </c>
      <c r="C255" s="1">
        <v>1736.6450414520523</v>
      </c>
      <c r="D255">
        <f t="shared" si="19"/>
        <v>-868.32252072602614</v>
      </c>
      <c r="E255">
        <f t="shared" si="20"/>
        <v>868.32252072602614</v>
      </c>
      <c r="F255" s="7">
        <f t="shared" si="24"/>
        <v>621070.04987647955</v>
      </c>
      <c r="G255" s="2">
        <f t="shared" si="21"/>
        <v>504</v>
      </c>
      <c r="J255" s="2">
        <v>1736.6450414520523</v>
      </c>
      <c r="K255" s="2">
        <f t="shared" si="22"/>
        <v>-868.32252072602614</v>
      </c>
      <c r="L255" s="2">
        <f t="shared" si="23"/>
        <v>868.32252072602614</v>
      </c>
    </row>
    <row r="256" spans="1:12" x14ac:dyDescent="0.25">
      <c r="A256">
        <v>254</v>
      </c>
      <c r="B256" s="1">
        <v>506</v>
      </c>
      <c r="C256" s="1">
        <v>1738.9238051162563</v>
      </c>
      <c r="D256">
        <f t="shared" si="19"/>
        <v>-869.46190255812814</v>
      </c>
      <c r="E256">
        <f t="shared" si="20"/>
        <v>869.46190255812814</v>
      </c>
      <c r="F256" s="7">
        <f t="shared" si="24"/>
        <v>624545.6187230479</v>
      </c>
      <c r="G256" s="2">
        <f t="shared" si="21"/>
        <v>506</v>
      </c>
      <c r="J256" s="2">
        <v>1738.9238051162563</v>
      </c>
      <c r="K256" s="2">
        <f t="shared" si="22"/>
        <v>-869.46190255812814</v>
      </c>
      <c r="L256" s="2">
        <f t="shared" si="23"/>
        <v>869.46190255812814</v>
      </c>
    </row>
    <row r="257" spans="1:12" x14ac:dyDescent="0.25">
      <c r="A257">
        <v>255</v>
      </c>
      <c r="B257" s="1">
        <v>508</v>
      </c>
      <c r="C257" s="1">
        <v>1741.1903974005829</v>
      </c>
      <c r="D257">
        <f t="shared" si="19"/>
        <v>-870.59519870029146</v>
      </c>
      <c r="E257">
        <f t="shared" si="20"/>
        <v>870.59519870029146</v>
      </c>
      <c r="F257" s="7">
        <f t="shared" si="24"/>
        <v>628025.73292556475</v>
      </c>
      <c r="G257" s="2">
        <f t="shared" si="21"/>
        <v>508</v>
      </c>
      <c r="J257" s="2">
        <v>1741.1903974005829</v>
      </c>
      <c r="K257" s="2">
        <f t="shared" si="22"/>
        <v>-870.59519870029146</v>
      </c>
      <c r="L257" s="2">
        <f t="shared" si="23"/>
        <v>870.59519870029146</v>
      </c>
    </row>
    <row r="258" spans="1:12" x14ac:dyDescent="0.25">
      <c r="A258">
        <v>256</v>
      </c>
      <c r="B258" s="1">
        <v>510</v>
      </c>
      <c r="C258" s="1">
        <v>1743.4448657758007</v>
      </c>
      <c r="D258">
        <f t="shared" si="19"/>
        <v>-871.72243288790037</v>
      </c>
      <c r="E258">
        <f t="shared" si="20"/>
        <v>871.72243288790037</v>
      </c>
      <c r="F258" s="7">
        <f t="shared" si="24"/>
        <v>631510.36818874115</v>
      </c>
      <c r="G258" s="2">
        <f t="shared" si="21"/>
        <v>510</v>
      </c>
      <c r="J258" s="2">
        <v>1743.4448657758007</v>
      </c>
      <c r="K258" s="2">
        <f t="shared" si="22"/>
        <v>-871.72243288790037</v>
      </c>
      <c r="L258" s="2">
        <f t="shared" si="23"/>
        <v>871.72243288790037</v>
      </c>
    </row>
    <row r="259" spans="1:12" x14ac:dyDescent="0.25">
      <c r="A259">
        <v>257</v>
      </c>
      <c r="B259" s="1">
        <v>512</v>
      </c>
      <c r="C259" s="1">
        <v>1745.6872572141895</v>
      </c>
      <c r="D259">
        <f t="shared" si="19"/>
        <v>-872.84362860709473</v>
      </c>
      <c r="E259">
        <f t="shared" si="20"/>
        <v>872.84362860709473</v>
      </c>
      <c r="F259" s="7">
        <f t="shared" si="24"/>
        <v>634999.50031173113</v>
      </c>
      <c r="G259" s="2">
        <f t="shared" si="21"/>
        <v>512</v>
      </c>
      <c r="J259" s="2">
        <v>1745.6872572141895</v>
      </c>
      <c r="K259" s="2">
        <f t="shared" si="22"/>
        <v>-872.84362860709473</v>
      </c>
      <c r="L259" s="2">
        <f t="shared" si="23"/>
        <v>872.84362860709473</v>
      </c>
    </row>
    <row r="260" spans="1:12" x14ac:dyDescent="0.25">
      <c r="A260">
        <v>258</v>
      </c>
      <c r="B260" s="1">
        <v>514</v>
      </c>
      <c r="C260" s="1">
        <v>1747.9176181960063</v>
      </c>
      <c r="D260">
        <f t="shared" ref="D260:D323" si="25">IF(A260&lt;=COUNT(B:B),-1*C260/2,NA())</f>
        <v>-873.95880909800314</v>
      </c>
      <c r="E260">
        <f t="shared" ref="E260:E323" si="26">IF(A260&lt;=COUNT(B:B),C260/2,NA())</f>
        <v>873.95880909800314</v>
      </c>
      <c r="F260" s="7">
        <f t="shared" si="24"/>
        <v>638493.10518714134</v>
      </c>
      <c r="G260" s="2">
        <f t="shared" ref="G260:G323" si="27">B260-$B$3</f>
        <v>514</v>
      </c>
      <c r="J260" s="2">
        <v>1747.9176181960063</v>
      </c>
      <c r="K260" s="2">
        <f t="shared" ref="K260:K323" si="28">IF(A260&lt;=COUNT(B:B),$J260/2*-1,NA())</f>
        <v>-873.95880909800314</v>
      </c>
      <c r="L260" s="2">
        <f t="shared" ref="L260:L323" si="29">IF(A260&lt;=COUNT(B:B),$J260/2,NA())</f>
        <v>873.95880909800314</v>
      </c>
    </row>
    <row r="261" spans="1:12" x14ac:dyDescent="0.25">
      <c r="A261">
        <v>259</v>
      </c>
      <c r="B261" s="1">
        <v>516</v>
      </c>
      <c r="C261" s="1">
        <v>1750.1359947158392</v>
      </c>
      <c r="D261">
        <f t="shared" si="25"/>
        <v>-875.06799735791958</v>
      </c>
      <c r="E261">
        <f t="shared" si="26"/>
        <v>875.06799735791958</v>
      </c>
      <c r="F261" s="7">
        <f t="shared" ref="F261:F324" si="30">IF(A260&lt;COUNT(B:B),(($C261+$C260)*(B261-B260)/2)+F260,"")</f>
        <v>641991.15880005318</v>
      </c>
      <c r="G261" s="2">
        <f t="shared" si="27"/>
        <v>516</v>
      </c>
      <c r="J261" s="2">
        <v>1750.1359947158392</v>
      </c>
      <c r="K261" s="2">
        <f t="shared" si="28"/>
        <v>-875.06799735791958</v>
      </c>
      <c r="L261" s="2">
        <f t="shared" si="29"/>
        <v>875.06799735791958</v>
      </c>
    </row>
    <row r="262" spans="1:12" x14ac:dyDescent="0.25">
      <c r="A262">
        <v>260</v>
      </c>
      <c r="B262" s="1">
        <v>518</v>
      </c>
      <c r="C262" s="1">
        <v>1752.3424322888493</v>
      </c>
      <c r="D262">
        <f t="shared" si="25"/>
        <v>-876.17121614442465</v>
      </c>
      <c r="E262">
        <f t="shared" si="26"/>
        <v>876.17121614442465</v>
      </c>
      <c r="F262" s="7">
        <f t="shared" si="30"/>
        <v>645493.63722705783</v>
      </c>
      <c r="G262" s="2">
        <f t="shared" si="27"/>
        <v>518</v>
      </c>
      <c r="J262" s="2">
        <v>1752.3424322888493</v>
      </c>
      <c r="K262" s="2">
        <f t="shared" si="28"/>
        <v>-876.17121614442465</v>
      </c>
      <c r="L262" s="2">
        <f t="shared" si="29"/>
        <v>876.17121614442465</v>
      </c>
    </row>
    <row r="263" spans="1:12" x14ac:dyDescent="0.25">
      <c r="A263">
        <v>261</v>
      </c>
      <c r="B263" s="1">
        <v>520</v>
      </c>
      <c r="C263" s="1">
        <v>1754.5369759569046</v>
      </c>
      <c r="D263">
        <f t="shared" si="25"/>
        <v>-877.2684879784523</v>
      </c>
      <c r="E263">
        <f t="shared" si="26"/>
        <v>877.2684879784523</v>
      </c>
      <c r="F263" s="7">
        <f t="shared" si="30"/>
        <v>649000.51663530362</v>
      </c>
      <c r="G263" s="2">
        <f t="shared" si="27"/>
        <v>520</v>
      </c>
      <c r="J263" s="2">
        <v>1754.5369759569046</v>
      </c>
      <c r="K263" s="2">
        <f t="shared" si="28"/>
        <v>-877.2684879784523</v>
      </c>
      <c r="L263" s="2">
        <f t="shared" si="29"/>
        <v>877.2684879784523</v>
      </c>
    </row>
    <row r="264" spans="1:12" x14ac:dyDescent="0.25">
      <c r="A264">
        <v>262</v>
      </c>
      <c r="B264" s="1">
        <v>522</v>
      </c>
      <c r="C264" s="1">
        <v>1756.7196702946092</v>
      </c>
      <c r="D264">
        <f t="shared" si="25"/>
        <v>-878.35983514730458</v>
      </c>
      <c r="E264">
        <f t="shared" si="26"/>
        <v>878.35983514730458</v>
      </c>
      <c r="F264" s="7">
        <f t="shared" si="30"/>
        <v>652511.77328155516</v>
      </c>
      <c r="G264" s="2">
        <f t="shared" si="27"/>
        <v>522</v>
      </c>
      <c r="J264" s="2">
        <v>1756.7196702946092</v>
      </c>
      <c r="K264" s="2">
        <f t="shared" si="28"/>
        <v>-878.35983514730458</v>
      </c>
      <c r="L264" s="2">
        <f t="shared" si="29"/>
        <v>878.35983514730458</v>
      </c>
    </row>
    <row r="265" spans="1:12" x14ac:dyDescent="0.25">
      <c r="A265">
        <v>263</v>
      </c>
      <c r="B265" s="1">
        <v>524</v>
      </c>
      <c r="C265" s="1">
        <v>1758.8905594152241</v>
      </c>
      <c r="D265">
        <f t="shared" si="25"/>
        <v>-879.44527970761203</v>
      </c>
      <c r="E265">
        <f t="shared" si="26"/>
        <v>879.44527970761203</v>
      </c>
      <c r="F265" s="7">
        <f t="shared" si="30"/>
        <v>656027.38351126504</v>
      </c>
      <c r="G265" s="2">
        <f t="shared" si="27"/>
        <v>524</v>
      </c>
      <c r="J265" s="2">
        <v>1758.8905594152241</v>
      </c>
      <c r="K265" s="2">
        <f t="shared" si="28"/>
        <v>-879.44527970761203</v>
      </c>
      <c r="L265" s="2">
        <f t="shared" si="29"/>
        <v>879.44527970761203</v>
      </c>
    </row>
    <row r="266" spans="1:12" x14ac:dyDescent="0.25">
      <c r="A266">
        <v>264</v>
      </c>
      <c r="B266" s="1">
        <v>526</v>
      </c>
      <c r="C266" s="1">
        <v>1761.0496869764918</v>
      </c>
      <c r="D266">
        <f t="shared" si="25"/>
        <v>-880.52484348824589</v>
      </c>
      <c r="E266">
        <f t="shared" si="26"/>
        <v>880.52484348824589</v>
      </c>
      <c r="F266" s="7">
        <f t="shared" si="30"/>
        <v>659547.32375765673</v>
      </c>
      <c r="G266" s="2">
        <f t="shared" si="27"/>
        <v>526</v>
      </c>
      <c r="J266" s="2">
        <v>1761.0496869764918</v>
      </c>
      <c r="K266" s="2">
        <f t="shared" si="28"/>
        <v>-880.52484348824589</v>
      </c>
      <c r="L266" s="2">
        <f t="shared" si="29"/>
        <v>880.52484348824589</v>
      </c>
    </row>
    <row r="267" spans="1:12" x14ac:dyDescent="0.25">
      <c r="A267">
        <v>265</v>
      </c>
      <c r="B267" s="1">
        <v>528</v>
      </c>
      <c r="C267" s="1">
        <v>1763.1970961863565</v>
      </c>
      <c r="D267">
        <f t="shared" si="25"/>
        <v>-881.59854809317824</v>
      </c>
      <c r="E267">
        <f t="shared" si="26"/>
        <v>881.59854809317824</v>
      </c>
      <c r="F267" s="7">
        <f t="shared" si="30"/>
        <v>663071.57054081955</v>
      </c>
      <c r="G267" s="2">
        <f t="shared" si="27"/>
        <v>528</v>
      </c>
      <c r="J267" s="2">
        <v>1763.1970961863565</v>
      </c>
      <c r="K267" s="2">
        <f t="shared" si="28"/>
        <v>-881.59854809317824</v>
      </c>
      <c r="L267" s="2">
        <f t="shared" si="29"/>
        <v>881.59854809317824</v>
      </c>
    </row>
    <row r="268" spans="1:12" x14ac:dyDescent="0.25">
      <c r="A268">
        <v>266</v>
      </c>
      <c r="B268" s="1">
        <v>530</v>
      </c>
      <c r="C268" s="1">
        <v>1765.3328298085887</v>
      </c>
      <c r="D268">
        <f t="shared" si="25"/>
        <v>-882.66641490429436</v>
      </c>
      <c r="E268">
        <f t="shared" si="26"/>
        <v>882.66641490429436</v>
      </c>
      <c r="F268" s="7">
        <f t="shared" si="30"/>
        <v>666600.10046681447</v>
      </c>
      <c r="G268" s="2">
        <f t="shared" si="27"/>
        <v>530</v>
      </c>
      <c r="J268" s="2">
        <v>1765.3328298085887</v>
      </c>
      <c r="K268" s="2">
        <f t="shared" si="28"/>
        <v>-882.66641490429436</v>
      </c>
      <c r="L268" s="2">
        <f t="shared" si="29"/>
        <v>882.66641490429436</v>
      </c>
    </row>
    <row r="269" spans="1:12" x14ac:dyDescent="0.25">
      <c r="A269">
        <v>267</v>
      </c>
      <c r="B269" s="1">
        <v>532</v>
      </c>
      <c r="C269" s="1">
        <v>1767.4569301683139</v>
      </c>
      <c r="D269">
        <f t="shared" si="25"/>
        <v>-883.72846508415694</v>
      </c>
      <c r="E269">
        <f t="shared" si="26"/>
        <v>883.72846508415694</v>
      </c>
      <c r="F269" s="7">
        <f t="shared" si="30"/>
        <v>670132.89022679138</v>
      </c>
      <c r="G269" s="2">
        <f t="shared" si="27"/>
        <v>532</v>
      </c>
      <c r="J269" s="2">
        <v>1767.4569301683139</v>
      </c>
      <c r="K269" s="2">
        <f t="shared" si="28"/>
        <v>-883.72846508415694</v>
      </c>
      <c r="L269" s="2">
        <f t="shared" si="29"/>
        <v>883.72846508415694</v>
      </c>
    </row>
    <row r="270" spans="1:12" x14ac:dyDescent="0.25">
      <c r="A270">
        <v>268</v>
      </c>
      <c r="B270" s="1">
        <v>534</v>
      </c>
      <c r="C270" s="1">
        <v>1769.5694391574466</v>
      </c>
      <c r="D270">
        <f t="shared" si="25"/>
        <v>-884.7847195787233</v>
      </c>
      <c r="E270">
        <f t="shared" si="26"/>
        <v>884.7847195787233</v>
      </c>
      <c r="F270" s="7">
        <f t="shared" si="30"/>
        <v>673669.9165961172</v>
      </c>
      <c r="G270" s="2">
        <f t="shared" si="27"/>
        <v>534</v>
      </c>
      <c r="J270" s="2">
        <v>1769.5694391574466</v>
      </c>
      <c r="K270" s="2">
        <f t="shared" si="28"/>
        <v>-884.7847195787233</v>
      </c>
      <c r="L270" s="2">
        <f t="shared" si="29"/>
        <v>884.7847195787233</v>
      </c>
    </row>
    <row r="271" spans="1:12" x14ac:dyDescent="0.25">
      <c r="A271">
        <v>269</v>
      </c>
      <c r="B271" s="1">
        <v>536</v>
      </c>
      <c r="C271" s="1">
        <v>1771.6703982400338</v>
      </c>
      <c r="D271">
        <f t="shared" si="25"/>
        <v>-885.83519912001691</v>
      </c>
      <c r="E271">
        <f t="shared" si="26"/>
        <v>885.83519912001691</v>
      </c>
      <c r="F271" s="7">
        <f t="shared" si="30"/>
        <v>677211.15643351467</v>
      </c>
      <c r="G271" s="2">
        <f t="shared" si="27"/>
        <v>536</v>
      </c>
      <c r="J271" s="2">
        <v>1771.6703982400338</v>
      </c>
      <c r="K271" s="2">
        <f t="shared" si="28"/>
        <v>-885.83519912001691</v>
      </c>
      <c r="L271" s="2">
        <f t="shared" si="29"/>
        <v>885.83519912001691</v>
      </c>
    </row>
    <row r="272" spans="1:12" x14ac:dyDescent="0.25">
      <c r="A272">
        <v>270</v>
      </c>
      <c r="B272" s="1">
        <v>538</v>
      </c>
      <c r="C272" s="1">
        <v>1773.7598484575076</v>
      </c>
      <c r="D272">
        <f t="shared" si="25"/>
        <v>-886.87992422875379</v>
      </c>
      <c r="E272">
        <f t="shared" si="26"/>
        <v>886.87992422875379</v>
      </c>
      <c r="F272" s="7">
        <f t="shared" si="30"/>
        <v>680756.58668021217</v>
      </c>
      <c r="G272" s="2">
        <f t="shared" si="27"/>
        <v>538</v>
      </c>
      <c r="J272" s="2">
        <v>1773.7598484575076</v>
      </c>
      <c r="K272" s="2">
        <f t="shared" si="28"/>
        <v>-886.87992422875379</v>
      </c>
      <c r="L272" s="2">
        <f t="shared" si="29"/>
        <v>886.87992422875379</v>
      </c>
    </row>
    <row r="273" spans="1:12" x14ac:dyDescent="0.25">
      <c r="A273">
        <v>271</v>
      </c>
      <c r="B273" s="1">
        <v>540</v>
      </c>
      <c r="C273" s="1">
        <v>1775.8378304338491</v>
      </c>
      <c r="D273">
        <f t="shared" si="25"/>
        <v>-887.91891521692457</v>
      </c>
      <c r="E273">
        <f t="shared" si="26"/>
        <v>887.91891521692457</v>
      </c>
      <c r="F273" s="7">
        <f t="shared" si="30"/>
        <v>684306.18435910356</v>
      </c>
      <c r="G273" s="2">
        <f t="shared" si="27"/>
        <v>540</v>
      </c>
      <c r="J273" s="2">
        <v>1775.8378304338491</v>
      </c>
      <c r="K273" s="2">
        <f t="shared" si="28"/>
        <v>-887.91891521692457</v>
      </c>
      <c r="L273" s="2">
        <f t="shared" si="29"/>
        <v>887.91891521692457</v>
      </c>
    </row>
    <row r="274" spans="1:12" x14ac:dyDescent="0.25">
      <c r="A274">
        <v>272</v>
      </c>
      <c r="B274" s="1">
        <v>542</v>
      </c>
      <c r="C274" s="1">
        <v>1777.9043843806674</v>
      </c>
      <c r="D274">
        <f t="shared" si="25"/>
        <v>-888.95219219033368</v>
      </c>
      <c r="E274">
        <f t="shared" si="26"/>
        <v>888.95219219033368</v>
      </c>
      <c r="F274" s="7">
        <f t="shared" si="30"/>
        <v>687859.92657391808</v>
      </c>
      <c r="G274" s="2">
        <f t="shared" si="27"/>
        <v>542</v>
      </c>
      <c r="J274" s="2">
        <v>1777.9043843806674</v>
      </c>
      <c r="K274" s="2">
        <f t="shared" si="28"/>
        <v>-888.95219219033368</v>
      </c>
      <c r="L274" s="2">
        <f t="shared" si="29"/>
        <v>888.95219219033368</v>
      </c>
    </row>
    <row r="275" spans="1:12" x14ac:dyDescent="0.25">
      <c r="A275">
        <v>273</v>
      </c>
      <c r="B275" s="1">
        <v>544</v>
      </c>
      <c r="C275" s="1">
        <v>1779.9595501021927</v>
      </c>
      <c r="D275">
        <f t="shared" si="25"/>
        <v>-889.97977505109634</v>
      </c>
      <c r="E275">
        <f t="shared" si="26"/>
        <v>889.97977505109634</v>
      </c>
      <c r="F275" s="7">
        <f t="shared" si="30"/>
        <v>691417.790508401</v>
      </c>
      <c r="G275" s="2">
        <f t="shared" si="27"/>
        <v>544</v>
      </c>
      <c r="J275" s="2">
        <v>1779.9595501021927</v>
      </c>
      <c r="K275" s="2">
        <f t="shared" si="28"/>
        <v>-889.97977505109634</v>
      </c>
      <c r="L275" s="2">
        <f t="shared" si="29"/>
        <v>889.97977505109634</v>
      </c>
    </row>
    <row r="276" spans="1:12" x14ac:dyDescent="0.25">
      <c r="A276">
        <v>274</v>
      </c>
      <c r="B276" s="1">
        <v>546</v>
      </c>
      <c r="C276" s="1">
        <v>1782.003367000186</v>
      </c>
      <c r="D276">
        <f t="shared" si="25"/>
        <v>-891.00168350009301</v>
      </c>
      <c r="E276">
        <f t="shared" si="26"/>
        <v>891.00168350009301</v>
      </c>
      <c r="F276" s="7">
        <f t="shared" si="30"/>
        <v>694979.75342550338</v>
      </c>
      <c r="G276" s="2">
        <f t="shared" si="27"/>
        <v>546</v>
      </c>
      <c r="J276" s="2">
        <v>1782.003367000186</v>
      </c>
      <c r="K276" s="2">
        <f t="shared" si="28"/>
        <v>-891.00168350009301</v>
      </c>
      <c r="L276" s="2">
        <f t="shared" si="29"/>
        <v>891.00168350009301</v>
      </c>
    </row>
    <row r="277" spans="1:12" x14ac:dyDescent="0.25">
      <c r="A277">
        <v>275</v>
      </c>
      <c r="B277" s="1">
        <v>548</v>
      </c>
      <c r="C277" s="1">
        <v>1784.0358740787697</v>
      </c>
      <c r="D277">
        <f t="shared" si="25"/>
        <v>-892.01793703938483</v>
      </c>
      <c r="E277">
        <f t="shared" si="26"/>
        <v>892.01793703938483</v>
      </c>
      <c r="F277" s="7">
        <f t="shared" si="30"/>
        <v>698545.79266658239</v>
      </c>
      <c r="G277" s="2">
        <f t="shared" si="27"/>
        <v>548</v>
      </c>
      <c r="J277" s="2">
        <v>1784.0358740787697</v>
      </c>
      <c r="K277" s="2">
        <f t="shared" si="28"/>
        <v>-892.01793703938483</v>
      </c>
      <c r="L277" s="2">
        <f t="shared" si="29"/>
        <v>892.01793703938483</v>
      </c>
    </row>
    <row r="278" spans="1:12" x14ac:dyDescent="0.25">
      <c r="A278">
        <v>276</v>
      </c>
      <c r="B278" s="1">
        <v>550</v>
      </c>
      <c r="C278" s="1">
        <v>1786.0571099491751</v>
      </c>
      <c r="D278">
        <f t="shared" si="25"/>
        <v>-893.02855497458756</v>
      </c>
      <c r="E278">
        <f t="shared" si="26"/>
        <v>893.02855497458756</v>
      </c>
      <c r="F278" s="7">
        <f t="shared" si="30"/>
        <v>702115.88565061032</v>
      </c>
      <c r="G278" s="2">
        <f t="shared" si="27"/>
        <v>550</v>
      </c>
      <c r="J278" s="2">
        <v>1786.0571099491751</v>
      </c>
      <c r="K278" s="2">
        <f t="shared" si="28"/>
        <v>-893.02855497458756</v>
      </c>
      <c r="L278" s="2">
        <f t="shared" si="29"/>
        <v>893.02855497458756</v>
      </c>
    </row>
    <row r="279" spans="1:12" x14ac:dyDescent="0.25">
      <c r="A279">
        <v>277</v>
      </c>
      <c r="B279" s="1">
        <v>552</v>
      </c>
      <c r="C279" s="1">
        <v>1788.0671128344147</v>
      </c>
      <c r="D279">
        <f t="shared" si="25"/>
        <v>-894.03355641720736</v>
      </c>
      <c r="E279">
        <f t="shared" si="26"/>
        <v>894.03355641720736</v>
      </c>
      <c r="F279" s="7">
        <f t="shared" si="30"/>
        <v>705690.00987339392</v>
      </c>
      <c r="G279" s="2">
        <f t="shared" si="27"/>
        <v>552</v>
      </c>
      <c r="J279" s="2">
        <v>1788.0671128344147</v>
      </c>
      <c r="K279" s="2">
        <f t="shared" si="28"/>
        <v>-894.03355641720736</v>
      </c>
      <c r="L279" s="2">
        <f t="shared" si="29"/>
        <v>894.03355641720736</v>
      </c>
    </row>
    <row r="280" spans="1:12" x14ac:dyDescent="0.25">
      <c r="A280">
        <v>278</v>
      </c>
      <c r="B280" s="1">
        <v>554</v>
      </c>
      <c r="C280" s="1">
        <v>1790.0659205738766</v>
      </c>
      <c r="D280">
        <f t="shared" si="25"/>
        <v>-895.03296028693831</v>
      </c>
      <c r="E280">
        <f t="shared" si="26"/>
        <v>895.03296028693831</v>
      </c>
      <c r="F280" s="7">
        <f t="shared" si="30"/>
        <v>709268.14290680224</v>
      </c>
      <c r="G280" s="2">
        <f t="shared" si="27"/>
        <v>554</v>
      </c>
      <c r="J280" s="2">
        <v>1790.0659205738766</v>
      </c>
      <c r="K280" s="2">
        <f t="shared" si="28"/>
        <v>-895.03296028693831</v>
      </c>
      <c r="L280" s="2">
        <f t="shared" si="29"/>
        <v>895.03296028693831</v>
      </c>
    </row>
    <row r="281" spans="1:12" x14ac:dyDescent="0.25">
      <c r="A281">
        <v>279</v>
      </c>
      <c r="B281" s="1">
        <v>556</v>
      </c>
      <c r="C281" s="1">
        <v>1792.0535706278426</v>
      </c>
      <c r="D281">
        <f t="shared" si="25"/>
        <v>-896.02678531392132</v>
      </c>
      <c r="E281">
        <f t="shared" si="26"/>
        <v>896.02678531392132</v>
      </c>
      <c r="F281" s="7">
        <f t="shared" si="30"/>
        <v>712850.26239800395</v>
      </c>
      <c r="G281" s="2">
        <f t="shared" si="27"/>
        <v>556</v>
      </c>
      <c r="J281" s="2">
        <v>1792.0535706278426</v>
      </c>
      <c r="K281" s="2">
        <f t="shared" si="28"/>
        <v>-896.02678531392132</v>
      </c>
      <c r="L281" s="2">
        <f t="shared" si="29"/>
        <v>896.02678531392132</v>
      </c>
    </row>
    <row r="282" spans="1:12" x14ac:dyDescent="0.25">
      <c r="A282">
        <v>280</v>
      </c>
      <c r="B282" s="1">
        <v>558</v>
      </c>
      <c r="C282" s="1">
        <v>1794.0301000819356</v>
      </c>
      <c r="D282">
        <f t="shared" si="25"/>
        <v>-897.01505004096782</v>
      </c>
      <c r="E282">
        <f t="shared" si="26"/>
        <v>897.01505004096782</v>
      </c>
      <c r="F282" s="7">
        <f t="shared" si="30"/>
        <v>716436.3460687137</v>
      </c>
      <c r="G282" s="2">
        <f t="shared" si="27"/>
        <v>558</v>
      </c>
      <c r="J282" s="2">
        <v>1794.0301000819356</v>
      </c>
      <c r="K282" s="2">
        <f t="shared" si="28"/>
        <v>-897.01505004096782</v>
      </c>
      <c r="L282" s="2">
        <f t="shared" si="29"/>
        <v>897.01505004096782</v>
      </c>
    </row>
    <row r="283" spans="1:12" x14ac:dyDescent="0.25">
      <c r="A283">
        <v>281</v>
      </c>
      <c r="B283" s="1">
        <v>560</v>
      </c>
      <c r="C283" s="1">
        <v>1795.995545651492</v>
      </c>
      <c r="D283">
        <f t="shared" si="25"/>
        <v>-897.99777282574598</v>
      </c>
      <c r="E283">
        <f t="shared" si="26"/>
        <v>897.99777282574598</v>
      </c>
      <c r="F283" s="7">
        <f t="shared" si="30"/>
        <v>720026.37171444716</v>
      </c>
      <c r="G283" s="2">
        <f t="shared" si="27"/>
        <v>560</v>
      </c>
      <c r="J283" s="2">
        <v>1795.995545651492</v>
      </c>
      <c r="K283" s="2">
        <f t="shared" si="28"/>
        <v>-897.99777282574598</v>
      </c>
      <c r="L283" s="2">
        <f t="shared" si="29"/>
        <v>897.99777282574598</v>
      </c>
    </row>
    <row r="284" spans="1:12" x14ac:dyDescent="0.25">
      <c r="A284">
        <v>282</v>
      </c>
      <c r="B284" s="1">
        <v>562</v>
      </c>
      <c r="C284" s="1">
        <v>1797.9499436858637</v>
      </c>
      <c r="D284">
        <f t="shared" si="25"/>
        <v>-898.97497184293184</v>
      </c>
      <c r="E284">
        <f t="shared" si="26"/>
        <v>898.97497184293184</v>
      </c>
      <c r="F284" s="7">
        <f t="shared" si="30"/>
        <v>723620.31720378448</v>
      </c>
      <c r="G284" s="2">
        <f t="shared" si="27"/>
        <v>562</v>
      </c>
      <c r="J284" s="2">
        <v>1797.9499436858637</v>
      </c>
      <c r="K284" s="2">
        <f t="shared" si="28"/>
        <v>-898.97497184293184</v>
      </c>
      <c r="L284" s="2">
        <f t="shared" si="29"/>
        <v>898.97497184293184</v>
      </c>
    </row>
    <row r="285" spans="1:12" x14ac:dyDescent="0.25">
      <c r="A285">
        <v>283</v>
      </c>
      <c r="B285" s="1">
        <v>564</v>
      </c>
      <c r="C285" s="1">
        <v>1799.8933301726522</v>
      </c>
      <c r="D285">
        <f t="shared" si="25"/>
        <v>-899.94666508632611</v>
      </c>
      <c r="E285">
        <f t="shared" si="26"/>
        <v>899.94666508632611</v>
      </c>
      <c r="F285" s="7">
        <f t="shared" si="30"/>
        <v>727218.16047764302</v>
      </c>
      <c r="G285" s="2">
        <f t="shared" si="27"/>
        <v>564</v>
      </c>
      <c r="J285" s="2">
        <v>1799.8933301726522</v>
      </c>
      <c r="K285" s="2">
        <f t="shared" si="28"/>
        <v>-899.94666508632611</v>
      </c>
      <c r="L285" s="2">
        <f t="shared" si="29"/>
        <v>899.94666508632611</v>
      </c>
    </row>
    <row r="286" spans="1:12" x14ac:dyDescent="0.25">
      <c r="A286">
        <v>284</v>
      </c>
      <c r="B286" s="1">
        <v>566</v>
      </c>
      <c r="C286" s="1">
        <v>1801.8257407418732</v>
      </c>
      <c r="D286">
        <f t="shared" si="25"/>
        <v>-900.91287037093662</v>
      </c>
      <c r="E286">
        <f t="shared" si="26"/>
        <v>900.91287037093662</v>
      </c>
      <c r="F286" s="7">
        <f t="shared" si="30"/>
        <v>730819.87954855757</v>
      </c>
      <c r="G286" s="2">
        <f t="shared" si="27"/>
        <v>566</v>
      </c>
      <c r="J286" s="2">
        <v>1801.8257407418732</v>
      </c>
      <c r="K286" s="2">
        <f t="shared" si="28"/>
        <v>-900.91287037093662</v>
      </c>
      <c r="L286" s="2">
        <f t="shared" si="29"/>
        <v>900.91287037093662</v>
      </c>
    </row>
    <row r="287" spans="1:12" x14ac:dyDescent="0.25">
      <c r="A287">
        <v>285</v>
      </c>
      <c r="B287" s="1">
        <v>568</v>
      </c>
      <c r="C287" s="1">
        <v>1803.7472106700538</v>
      </c>
      <c r="D287">
        <f t="shared" si="25"/>
        <v>-901.87360533502692</v>
      </c>
      <c r="E287">
        <f t="shared" si="26"/>
        <v>901.87360533502692</v>
      </c>
      <c r="F287" s="7">
        <f t="shared" si="30"/>
        <v>734425.45249996951</v>
      </c>
      <c r="G287" s="2">
        <f t="shared" si="27"/>
        <v>568</v>
      </c>
      <c r="J287" s="2">
        <v>1803.7472106700538</v>
      </c>
      <c r="K287" s="2">
        <f t="shared" si="28"/>
        <v>-901.87360533502692</v>
      </c>
      <c r="L287" s="2">
        <f t="shared" si="29"/>
        <v>901.87360533502692</v>
      </c>
    </row>
    <row r="288" spans="1:12" x14ac:dyDescent="0.25">
      <c r="A288">
        <v>286</v>
      </c>
      <c r="B288" s="1">
        <v>570</v>
      </c>
      <c r="C288" s="1">
        <v>1805.6577748842665</v>
      </c>
      <c r="D288">
        <f t="shared" si="25"/>
        <v>-902.82888744213324</v>
      </c>
      <c r="E288">
        <f t="shared" si="26"/>
        <v>902.82888744213324</v>
      </c>
      <c r="F288" s="7">
        <f t="shared" si="30"/>
        <v>738034.8574855238</v>
      </c>
      <c r="G288" s="2">
        <f t="shared" si="27"/>
        <v>570</v>
      </c>
      <c r="J288" s="2">
        <v>1805.6577748842665</v>
      </c>
      <c r="K288" s="2">
        <f t="shared" si="28"/>
        <v>-902.82888744213324</v>
      </c>
      <c r="L288" s="2">
        <f t="shared" si="29"/>
        <v>902.82888744213324</v>
      </c>
    </row>
    <row r="289" spans="1:12" x14ac:dyDescent="0.25">
      <c r="A289">
        <v>287</v>
      </c>
      <c r="B289" s="1">
        <v>572</v>
      </c>
      <c r="C289" s="1">
        <v>1807.5574679660949</v>
      </c>
      <c r="D289">
        <f t="shared" si="25"/>
        <v>-903.77873398304746</v>
      </c>
      <c r="E289">
        <f t="shared" si="26"/>
        <v>903.77873398304746</v>
      </c>
      <c r="F289" s="7">
        <f t="shared" si="30"/>
        <v>741648.07272837416</v>
      </c>
      <c r="G289" s="2">
        <f t="shared" si="27"/>
        <v>572</v>
      </c>
      <c r="J289" s="2">
        <v>1807.5574679660949</v>
      </c>
      <c r="K289" s="2">
        <f t="shared" si="28"/>
        <v>-903.77873398304746</v>
      </c>
      <c r="L289" s="2">
        <f t="shared" si="29"/>
        <v>903.77873398304746</v>
      </c>
    </row>
    <row r="290" spans="1:12" x14ac:dyDescent="0.25">
      <c r="A290">
        <v>288</v>
      </c>
      <c r="B290" s="1">
        <v>574</v>
      </c>
      <c r="C290" s="1">
        <v>1809.4463241555413</v>
      </c>
      <c r="D290">
        <f t="shared" si="25"/>
        <v>-904.72316207777067</v>
      </c>
      <c r="E290">
        <f t="shared" si="26"/>
        <v>904.72316207777067</v>
      </c>
      <c r="F290" s="7">
        <f t="shared" si="30"/>
        <v>745265.07652049582</v>
      </c>
      <c r="G290" s="2">
        <f t="shared" si="27"/>
        <v>574</v>
      </c>
      <c r="J290" s="2">
        <v>1809.4463241555413</v>
      </c>
      <c r="K290" s="2">
        <f t="shared" si="28"/>
        <v>-904.72316207777067</v>
      </c>
      <c r="L290" s="2">
        <f t="shared" si="29"/>
        <v>904.72316207777067</v>
      </c>
    </row>
    <row r="291" spans="1:12" x14ac:dyDescent="0.25">
      <c r="A291">
        <v>289</v>
      </c>
      <c r="B291" s="1">
        <v>576</v>
      </c>
      <c r="C291" s="1">
        <v>1811.3243773548679</v>
      </c>
      <c r="D291">
        <f t="shared" si="25"/>
        <v>-905.66218867743396</v>
      </c>
      <c r="E291">
        <f t="shared" si="26"/>
        <v>905.66218867743396</v>
      </c>
      <c r="F291" s="7">
        <f t="shared" si="30"/>
        <v>748885.84722200618</v>
      </c>
      <c r="G291" s="2">
        <f t="shared" si="27"/>
        <v>576</v>
      </c>
      <c r="J291" s="2">
        <v>1811.3243773548679</v>
      </c>
      <c r="K291" s="2">
        <f t="shared" si="28"/>
        <v>-905.66218867743396</v>
      </c>
      <c r="L291" s="2">
        <f t="shared" si="29"/>
        <v>905.66218867743396</v>
      </c>
    </row>
    <row r="292" spans="1:12" x14ac:dyDescent="0.25">
      <c r="A292">
        <v>290</v>
      </c>
      <c r="B292" s="1">
        <v>578</v>
      </c>
      <c r="C292" s="1">
        <v>1813.1916611323802</v>
      </c>
      <c r="D292">
        <f t="shared" si="25"/>
        <v>-906.5958305661901</v>
      </c>
      <c r="E292">
        <f t="shared" si="26"/>
        <v>906.5958305661901</v>
      </c>
      <c r="F292" s="7">
        <f t="shared" si="30"/>
        <v>752510.36326049338</v>
      </c>
      <c r="G292" s="2">
        <f t="shared" si="27"/>
        <v>578</v>
      </c>
      <c r="J292" s="2">
        <v>1813.1916611323802</v>
      </c>
      <c r="K292" s="2">
        <f t="shared" si="28"/>
        <v>-906.5958305661901</v>
      </c>
      <c r="L292" s="2">
        <f t="shared" si="29"/>
        <v>906.5958305661901</v>
      </c>
    </row>
    <row r="293" spans="1:12" x14ac:dyDescent="0.25">
      <c r="A293">
        <v>291</v>
      </c>
      <c r="B293" s="1">
        <v>580</v>
      </c>
      <c r="C293" s="1">
        <v>1815.0482087261485</v>
      </c>
      <c r="D293">
        <f t="shared" si="25"/>
        <v>-907.52410436307423</v>
      </c>
      <c r="E293">
        <f t="shared" si="26"/>
        <v>907.52410436307423</v>
      </c>
      <c r="F293" s="7">
        <f t="shared" si="30"/>
        <v>756138.60313035187</v>
      </c>
      <c r="G293" s="2">
        <f t="shared" si="27"/>
        <v>580</v>
      </c>
      <c r="J293" s="2">
        <v>1815.0482087261485</v>
      </c>
      <c r="K293" s="2">
        <f t="shared" si="28"/>
        <v>-907.52410436307423</v>
      </c>
      <c r="L293" s="2">
        <f t="shared" si="29"/>
        <v>907.52410436307423</v>
      </c>
    </row>
    <row r="294" spans="1:12" x14ac:dyDescent="0.25">
      <c r="A294">
        <v>292</v>
      </c>
      <c r="B294" s="1">
        <v>582</v>
      </c>
      <c r="C294" s="1">
        <v>1816.894053047673</v>
      </c>
      <c r="D294">
        <f t="shared" si="25"/>
        <v>-908.44702652383648</v>
      </c>
      <c r="E294">
        <f t="shared" si="26"/>
        <v>908.44702652383648</v>
      </c>
      <c r="F294" s="7">
        <f t="shared" si="30"/>
        <v>759770.54539212573</v>
      </c>
      <c r="G294" s="2">
        <f t="shared" si="27"/>
        <v>582</v>
      </c>
      <c r="J294" s="2">
        <v>1816.894053047673</v>
      </c>
      <c r="K294" s="2">
        <f t="shared" si="28"/>
        <v>-908.44702652383648</v>
      </c>
      <c r="L294" s="2">
        <f t="shared" si="29"/>
        <v>908.44702652383648</v>
      </c>
    </row>
    <row r="295" spans="1:12" x14ac:dyDescent="0.25">
      <c r="A295">
        <v>293</v>
      </c>
      <c r="B295" s="1">
        <v>584</v>
      </c>
      <c r="C295" s="1">
        <v>1818.7292266854899</v>
      </c>
      <c r="D295">
        <f t="shared" si="25"/>
        <v>-909.36461334274497</v>
      </c>
      <c r="E295">
        <f t="shared" si="26"/>
        <v>909.36461334274497</v>
      </c>
      <c r="F295" s="7">
        <f t="shared" si="30"/>
        <v>763406.16867185885</v>
      </c>
      <c r="G295" s="2">
        <f t="shared" si="27"/>
        <v>584</v>
      </c>
      <c r="J295" s="2">
        <v>1818.7292266854899</v>
      </c>
      <c r="K295" s="2">
        <f t="shared" si="28"/>
        <v>-909.36461334274497</v>
      </c>
      <c r="L295" s="2">
        <f t="shared" si="29"/>
        <v>909.36461334274497</v>
      </c>
    </row>
    <row r="296" spans="1:12" x14ac:dyDescent="0.25">
      <c r="A296">
        <v>294</v>
      </c>
      <c r="B296" s="1">
        <v>586</v>
      </c>
      <c r="C296" s="1">
        <v>1820.5537619087222</v>
      </c>
      <c r="D296">
        <f t="shared" si="25"/>
        <v>-910.2768809543611</v>
      </c>
      <c r="E296">
        <f t="shared" si="26"/>
        <v>910.2768809543611</v>
      </c>
      <c r="F296" s="7">
        <f t="shared" si="30"/>
        <v>767045.45166045311</v>
      </c>
      <c r="G296" s="2">
        <f t="shared" si="27"/>
        <v>586</v>
      </c>
      <c r="J296" s="2">
        <v>1820.5537619087222</v>
      </c>
      <c r="K296" s="2">
        <f t="shared" si="28"/>
        <v>-910.2768809543611</v>
      </c>
      <c r="L296" s="2">
        <f t="shared" si="29"/>
        <v>910.2768809543611</v>
      </c>
    </row>
    <row r="297" spans="1:12" x14ac:dyDescent="0.25">
      <c r="A297">
        <v>295</v>
      </c>
      <c r="B297" s="1">
        <v>588</v>
      </c>
      <c r="C297" s="1">
        <v>1822.3676906705737</v>
      </c>
      <c r="D297">
        <f t="shared" si="25"/>
        <v>-911.18384533528683</v>
      </c>
      <c r="E297">
        <f t="shared" si="26"/>
        <v>911.18384533528683</v>
      </c>
      <c r="F297" s="7">
        <f t="shared" si="30"/>
        <v>770688.37311303243</v>
      </c>
      <c r="G297" s="2">
        <f t="shared" si="27"/>
        <v>588</v>
      </c>
      <c r="J297" s="2">
        <v>1822.3676906705737</v>
      </c>
      <c r="K297" s="2">
        <f t="shared" si="28"/>
        <v>-911.18384533528683</v>
      </c>
      <c r="L297" s="2">
        <f t="shared" si="29"/>
        <v>911.18384533528683</v>
      </c>
    </row>
    <row r="298" spans="1:12" x14ac:dyDescent="0.25">
      <c r="A298">
        <v>296</v>
      </c>
      <c r="B298" s="1">
        <v>590</v>
      </c>
      <c r="C298" s="1">
        <v>1824.1710446117711</v>
      </c>
      <c r="D298">
        <f t="shared" si="25"/>
        <v>-912.08552230588555</v>
      </c>
      <c r="E298">
        <f t="shared" si="26"/>
        <v>912.08552230588555</v>
      </c>
      <c r="F298" s="7">
        <f t="shared" si="30"/>
        <v>774334.9118483148</v>
      </c>
      <c r="G298" s="2">
        <f t="shared" si="27"/>
        <v>590</v>
      </c>
      <c r="J298" s="2">
        <v>1824.1710446117711</v>
      </c>
      <c r="K298" s="2">
        <f t="shared" si="28"/>
        <v>-912.08552230588555</v>
      </c>
      <c r="L298" s="2">
        <f t="shared" si="29"/>
        <v>912.08552230588555</v>
      </c>
    </row>
    <row r="299" spans="1:12" x14ac:dyDescent="0.25">
      <c r="A299">
        <v>297</v>
      </c>
      <c r="B299" s="1">
        <v>592</v>
      </c>
      <c r="C299" s="1">
        <v>1825.9638550639495</v>
      </c>
      <c r="D299">
        <f t="shared" si="25"/>
        <v>-912.98192753197475</v>
      </c>
      <c r="E299">
        <f t="shared" si="26"/>
        <v>912.98192753197475</v>
      </c>
      <c r="F299" s="7">
        <f t="shared" si="30"/>
        <v>777985.04674799053</v>
      </c>
      <c r="G299" s="2">
        <f t="shared" si="27"/>
        <v>592</v>
      </c>
      <c r="J299" s="2">
        <v>1825.9638550639495</v>
      </c>
      <c r="K299" s="2">
        <f t="shared" si="28"/>
        <v>-912.98192753197475</v>
      </c>
      <c r="L299" s="2">
        <f t="shared" si="29"/>
        <v>912.98192753197475</v>
      </c>
    </row>
    <row r="300" spans="1:12" x14ac:dyDescent="0.25">
      <c r="A300">
        <v>298</v>
      </c>
      <c r="B300" s="1">
        <v>594</v>
      </c>
      <c r="C300" s="1">
        <v>1827.746153052989</v>
      </c>
      <c r="D300">
        <f t="shared" si="25"/>
        <v>-913.87307652649451</v>
      </c>
      <c r="E300">
        <f t="shared" si="26"/>
        <v>913.87307652649451</v>
      </c>
      <c r="F300" s="7">
        <f t="shared" si="30"/>
        <v>781638.75675610744</v>
      </c>
      <c r="G300" s="2">
        <f t="shared" si="27"/>
        <v>594</v>
      </c>
      <c r="J300" s="2">
        <v>1827.746153052989</v>
      </c>
      <c r="K300" s="2">
        <f t="shared" si="28"/>
        <v>-913.87307652649451</v>
      </c>
      <c r="L300" s="2">
        <f t="shared" si="29"/>
        <v>913.87307652649451</v>
      </c>
    </row>
    <row r="301" spans="1:12" x14ac:dyDescent="0.25">
      <c r="A301">
        <v>299</v>
      </c>
      <c r="B301" s="1">
        <v>596</v>
      </c>
      <c r="C301" s="1">
        <v>1829.5179693022969</v>
      </c>
      <c r="D301">
        <f t="shared" si="25"/>
        <v>-914.75898465114847</v>
      </c>
      <c r="E301">
        <f t="shared" si="26"/>
        <v>914.75898465114847</v>
      </c>
      <c r="F301" s="7">
        <f t="shared" si="30"/>
        <v>785296.0208784627</v>
      </c>
      <c r="G301" s="2">
        <f t="shared" si="27"/>
        <v>596</v>
      </c>
      <c r="J301" s="2">
        <v>1829.5179693022969</v>
      </c>
      <c r="K301" s="2">
        <f t="shared" si="28"/>
        <v>-914.75898465114847</v>
      </c>
      <c r="L301" s="2">
        <f t="shared" si="29"/>
        <v>914.75898465114847</v>
      </c>
    </row>
    <row r="302" spans="1:12" x14ac:dyDescent="0.25">
      <c r="A302">
        <v>300</v>
      </c>
      <c r="B302" s="1">
        <v>598</v>
      </c>
      <c r="C302" s="1">
        <v>1831.2793342360417</v>
      </c>
      <c r="D302">
        <f t="shared" si="25"/>
        <v>-915.63966711802084</v>
      </c>
      <c r="E302">
        <f t="shared" si="26"/>
        <v>915.63966711802084</v>
      </c>
      <c r="F302" s="7">
        <f t="shared" si="30"/>
        <v>788956.81818200101</v>
      </c>
      <c r="G302" s="2">
        <f t="shared" si="27"/>
        <v>598</v>
      </c>
      <c r="J302" s="2">
        <v>1831.2793342360417</v>
      </c>
      <c r="K302" s="2">
        <f t="shared" si="28"/>
        <v>-915.63966711802084</v>
      </c>
      <c r="L302" s="2">
        <f t="shared" si="29"/>
        <v>915.63966711802084</v>
      </c>
    </row>
    <row r="303" spans="1:12" x14ac:dyDescent="0.25">
      <c r="A303">
        <v>301</v>
      </c>
      <c r="B303" s="1">
        <v>600</v>
      </c>
      <c r="C303" s="1">
        <v>1833.030277982336</v>
      </c>
      <c r="D303">
        <f t="shared" si="25"/>
        <v>-916.51513899116799</v>
      </c>
      <c r="E303">
        <f t="shared" si="26"/>
        <v>916.51513899116799</v>
      </c>
      <c r="F303" s="7">
        <f t="shared" si="30"/>
        <v>792621.12779421941</v>
      </c>
      <c r="G303" s="2">
        <f t="shared" si="27"/>
        <v>600</v>
      </c>
      <c r="J303" s="2">
        <v>1833.030277982336</v>
      </c>
      <c r="K303" s="2">
        <f t="shared" si="28"/>
        <v>-916.51513899116799</v>
      </c>
      <c r="L303" s="2">
        <f t="shared" si="29"/>
        <v>916.51513899116799</v>
      </c>
    </row>
    <row r="304" spans="1:12" x14ac:dyDescent="0.25">
      <c r="A304">
        <v>302</v>
      </c>
      <c r="B304" s="1">
        <v>602</v>
      </c>
      <c r="C304" s="1">
        <v>1834.7708303763716</v>
      </c>
      <c r="D304">
        <f t="shared" si="25"/>
        <v>-917.38541518818579</v>
      </c>
      <c r="E304">
        <f t="shared" si="26"/>
        <v>917.38541518818579</v>
      </c>
      <c r="F304" s="7">
        <f t="shared" si="30"/>
        <v>796288.92890257807</v>
      </c>
      <c r="G304" s="2">
        <f t="shared" si="27"/>
        <v>602</v>
      </c>
      <c r="J304" s="2">
        <v>1834.7708303763716</v>
      </c>
      <c r="K304" s="2">
        <f t="shared" si="28"/>
        <v>-917.38541518818579</v>
      </c>
      <c r="L304" s="2">
        <f t="shared" si="29"/>
        <v>917.38541518818579</v>
      </c>
    </row>
    <row r="305" spans="1:12" x14ac:dyDescent="0.25">
      <c r="A305">
        <v>303</v>
      </c>
      <c r="B305" s="1">
        <v>604</v>
      </c>
      <c r="C305" s="1">
        <v>1836.5010209635061</v>
      </c>
      <c r="D305">
        <f t="shared" si="25"/>
        <v>-918.25051048175305</v>
      </c>
      <c r="E305">
        <f t="shared" si="26"/>
        <v>918.25051048175305</v>
      </c>
      <c r="F305" s="7">
        <f t="shared" si="30"/>
        <v>799960.20075391792</v>
      </c>
      <c r="G305" s="2">
        <f t="shared" si="27"/>
        <v>604</v>
      </c>
      <c r="J305" s="2">
        <v>1836.5010209635061</v>
      </c>
      <c r="K305" s="2">
        <f t="shared" si="28"/>
        <v>-918.25051048175305</v>
      </c>
      <c r="L305" s="2">
        <f t="shared" si="29"/>
        <v>918.25051048175305</v>
      </c>
    </row>
    <row r="306" spans="1:12" x14ac:dyDescent="0.25">
      <c r="A306">
        <v>304</v>
      </c>
      <c r="B306" s="1">
        <v>606</v>
      </c>
      <c r="C306" s="1">
        <v>1838.220879002303</v>
      </c>
      <c r="D306">
        <f t="shared" si="25"/>
        <v>-919.11043950115152</v>
      </c>
      <c r="E306">
        <f t="shared" si="26"/>
        <v>919.11043950115152</v>
      </c>
      <c r="F306" s="7">
        <f t="shared" si="30"/>
        <v>803634.9226538837</v>
      </c>
      <c r="G306" s="2">
        <f t="shared" si="27"/>
        <v>606</v>
      </c>
      <c r="J306" s="2">
        <v>1838.220879002303</v>
      </c>
      <c r="K306" s="2">
        <f t="shared" si="28"/>
        <v>-919.11043950115152</v>
      </c>
      <c r="L306" s="2">
        <f t="shared" si="29"/>
        <v>919.11043950115152</v>
      </c>
    </row>
    <row r="307" spans="1:12" x14ac:dyDescent="0.25">
      <c r="A307">
        <v>305</v>
      </c>
      <c r="B307" s="1">
        <v>608</v>
      </c>
      <c r="C307" s="1">
        <v>1839.9304334675264</v>
      </c>
      <c r="D307">
        <f t="shared" si="25"/>
        <v>-919.96521673376321</v>
      </c>
      <c r="E307">
        <f t="shared" si="26"/>
        <v>919.96521673376321</v>
      </c>
      <c r="F307" s="7">
        <f t="shared" si="30"/>
        <v>807313.07396635355</v>
      </c>
      <c r="G307" s="2">
        <f t="shared" si="27"/>
        <v>608</v>
      </c>
      <c r="J307" s="2">
        <v>1839.9304334675264</v>
      </c>
      <c r="K307" s="2">
        <f t="shared" si="28"/>
        <v>-919.96521673376321</v>
      </c>
      <c r="L307" s="2">
        <f t="shared" si="29"/>
        <v>919.96521673376321</v>
      </c>
    </row>
    <row r="308" spans="1:12" x14ac:dyDescent="0.25">
      <c r="A308">
        <v>306</v>
      </c>
      <c r="B308" s="1">
        <v>610</v>
      </c>
      <c r="C308" s="1">
        <v>1841.6297130530882</v>
      </c>
      <c r="D308">
        <f t="shared" si="25"/>
        <v>-920.81485652654408</v>
      </c>
      <c r="E308">
        <f t="shared" si="26"/>
        <v>920.81485652654408</v>
      </c>
      <c r="F308" s="7">
        <f t="shared" si="30"/>
        <v>810994.63411287416</v>
      </c>
      <c r="G308" s="2">
        <f t="shared" si="27"/>
        <v>610</v>
      </c>
      <c r="J308" s="2">
        <v>1841.6297130530882</v>
      </c>
      <c r="K308" s="2">
        <f t="shared" si="28"/>
        <v>-920.81485652654408</v>
      </c>
      <c r="L308" s="2">
        <f t="shared" si="29"/>
        <v>920.81485652654408</v>
      </c>
    </row>
    <row r="309" spans="1:12" x14ac:dyDescent="0.25">
      <c r="A309">
        <v>307</v>
      </c>
      <c r="B309" s="1">
        <v>612</v>
      </c>
      <c r="C309" s="1">
        <v>1843.3187461749528</v>
      </c>
      <c r="D309">
        <f t="shared" si="25"/>
        <v>-921.65937308747641</v>
      </c>
      <c r="E309">
        <f t="shared" si="26"/>
        <v>921.65937308747641</v>
      </c>
      <c r="F309" s="7">
        <f t="shared" si="30"/>
        <v>814679.5825721022</v>
      </c>
      <c r="G309" s="2">
        <f t="shared" si="27"/>
        <v>612</v>
      </c>
      <c r="J309" s="2">
        <v>1843.3187461749528</v>
      </c>
      <c r="K309" s="2">
        <f t="shared" si="28"/>
        <v>-921.65937308747641</v>
      </c>
      <c r="L309" s="2">
        <f t="shared" si="29"/>
        <v>921.65937308747641</v>
      </c>
    </row>
    <row r="310" spans="1:12" x14ac:dyDescent="0.25">
      <c r="A310">
        <v>308</v>
      </c>
      <c r="B310" s="1">
        <v>614</v>
      </c>
      <c r="C310" s="1">
        <v>1844.9975609739977</v>
      </c>
      <c r="D310">
        <f t="shared" si="25"/>
        <v>-922.49878048699884</v>
      </c>
      <c r="E310">
        <f t="shared" si="26"/>
        <v>922.49878048699884</v>
      </c>
      <c r="F310" s="7">
        <f t="shared" si="30"/>
        <v>818367.89887925109</v>
      </c>
      <c r="G310" s="2">
        <f t="shared" si="27"/>
        <v>614</v>
      </c>
      <c r="J310" s="2">
        <v>1844.9975609739977</v>
      </c>
      <c r="K310" s="2">
        <f t="shared" si="28"/>
        <v>-922.49878048699884</v>
      </c>
      <c r="L310" s="2">
        <f t="shared" si="29"/>
        <v>922.49878048699884</v>
      </c>
    </row>
    <row r="311" spans="1:12" x14ac:dyDescent="0.25">
      <c r="A311">
        <v>309</v>
      </c>
      <c r="B311" s="1">
        <v>616</v>
      </c>
      <c r="C311" s="1">
        <v>1846.6661853188302</v>
      </c>
      <c r="D311">
        <f t="shared" si="25"/>
        <v>-923.33309265941512</v>
      </c>
      <c r="E311">
        <f t="shared" si="26"/>
        <v>923.33309265941512</v>
      </c>
      <c r="F311" s="7">
        <f t="shared" si="30"/>
        <v>822059.56262554391</v>
      </c>
      <c r="G311" s="2">
        <f t="shared" si="27"/>
        <v>616</v>
      </c>
      <c r="J311" s="2">
        <v>1846.6661853188302</v>
      </c>
      <c r="K311" s="2">
        <f t="shared" si="28"/>
        <v>-923.33309265941512</v>
      </c>
      <c r="L311" s="2">
        <f t="shared" si="29"/>
        <v>923.33309265941512</v>
      </c>
    </row>
    <row r="312" spans="1:12" x14ac:dyDescent="0.25">
      <c r="A312">
        <v>310</v>
      </c>
      <c r="B312" s="1">
        <v>618</v>
      </c>
      <c r="C312" s="1">
        <v>1848.3246468085633</v>
      </c>
      <c r="D312">
        <f t="shared" si="25"/>
        <v>-924.16232340428166</v>
      </c>
      <c r="E312">
        <f t="shared" si="26"/>
        <v>924.16232340428166</v>
      </c>
      <c r="F312" s="7">
        <f t="shared" si="30"/>
        <v>825754.55345767131</v>
      </c>
      <c r="G312" s="2">
        <f t="shared" si="27"/>
        <v>618</v>
      </c>
      <c r="J312" s="2">
        <v>1848.3246468085633</v>
      </c>
      <c r="K312" s="2">
        <f t="shared" si="28"/>
        <v>-924.16232340428166</v>
      </c>
      <c r="L312" s="2">
        <f t="shared" si="29"/>
        <v>924.16232340428166</v>
      </c>
    </row>
    <row r="313" spans="1:12" x14ac:dyDescent="0.25">
      <c r="A313">
        <v>311</v>
      </c>
      <c r="B313" s="1">
        <v>620</v>
      </c>
      <c r="C313" s="1">
        <v>1849.9729727755484</v>
      </c>
      <c r="D313">
        <f t="shared" si="25"/>
        <v>-924.98648638777422</v>
      </c>
      <c r="E313">
        <f t="shared" si="26"/>
        <v>924.98648638777422</v>
      </c>
      <c r="F313" s="7">
        <f t="shared" si="30"/>
        <v>829452.85107725544</v>
      </c>
      <c r="G313" s="2">
        <f t="shared" si="27"/>
        <v>620</v>
      </c>
      <c r="J313" s="2">
        <v>1849.9729727755484</v>
      </c>
      <c r="K313" s="2">
        <f t="shared" si="28"/>
        <v>-924.98648638777422</v>
      </c>
      <c r="L313" s="2">
        <f t="shared" si="29"/>
        <v>924.98648638777422</v>
      </c>
    </row>
    <row r="314" spans="1:12" x14ac:dyDescent="0.25">
      <c r="A314">
        <v>312</v>
      </c>
      <c r="B314" s="1">
        <v>622</v>
      </c>
      <c r="C314" s="1">
        <v>1851.6111902880691</v>
      </c>
      <c r="D314">
        <f t="shared" si="25"/>
        <v>-925.80559514403456</v>
      </c>
      <c r="E314">
        <f t="shared" si="26"/>
        <v>925.80559514403456</v>
      </c>
      <c r="F314" s="7">
        <f t="shared" si="30"/>
        <v>833154.43524031912</v>
      </c>
      <c r="G314" s="2">
        <f t="shared" si="27"/>
        <v>622</v>
      </c>
      <c r="J314" s="2">
        <v>1851.6111902880691</v>
      </c>
      <c r="K314" s="2">
        <f t="shared" si="28"/>
        <v>-925.80559514403456</v>
      </c>
      <c r="L314" s="2">
        <f t="shared" si="29"/>
        <v>925.80559514403456</v>
      </c>
    </row>
    <row r="315" spans="1:12" x14ac:dyDescent="0.25">
      <c r="A315">
        <v>313</v>
      </c>
      <c r="B315" s="1">
        <v>624</v>
      </c>
      <c r="C315" s="1">
        <v>1853.239326152993</v>
      </c>
      <c r="D315">
        <f t="shared" si="25"/>
        <v>-926.61966307649652</v>
      </c>
      <c r="E315">
        <f t="shared" si="26"/>
        <v>926.61966307649652</v>
      </c>
      <c r="F315" s="7">
        <f t="shared" si="30"/>
        <v>836859.28575676016</v>
      </c>
      <c r="G315" s="2">
        <f t="shared" si="27"/>
        <v>624</v>
      </c>
      <c r="J315" s="2">
        <v>1853.239326152993</v>
      </c>
      <c r="K315" s="2">
        <f t="shared" si="28"/>
        <v>-926.61966307649652</v>
      </c>
      <c r="L315" s="2">
        <f t="shared" si="29"/>
        <v>926.61966307649652</v>
      </c>
    </row>
    <row r="316" spans="1:12" x14ac:dyDescent="0.25">
      <c r="A316">
        <v>314</v>
      </c>
      <c r="B316" s="1">
        <v>626</v>
      </c>
      <c r="C316" s="1">
        <v>1854.8574069183862</v>
      </c>
      <c r="D316">
        <f t="shared" si="25"/>
        <v>-927.42870345919312</v>
      </c>
      <c r="E316">
        <f t="shared" si="26"/>
        <v>927.42870345919312</v>
      </c>
      <c r="F316" s="7">
        <f t="shared" si="30"/>
        <v>840567.38248983154</v>
      </c>
      <c r="G316" s="2">
        <f t="shared" si="27"/>
        <v>626</v>
      </c>
      <c r="J316" s="2">
        <v>1854.8574069183862</v>
      </c>
      <c r="K316" s="2">
        <f t="shared" si="28"/>
        <v>-927.42870345919312</v>
      </c>
      <c r="L316" s="2">
        <f t="shared" si="29"/>
        <v>927.42870345919312</v>
      </c>
    </row>
    <row r="317" spans="1:12" x14ac:dyDescent="0.25">
      <c r="A317">
        <v>315</v>
      </c>
      <c r="B317" s="1">
        <v>628</v>
      </c>
      <c r="C317" s="1">
        <v>1856.4654588760868</v>
      </c>
      <c r="D317">
        <f t="shared" si="25"/>
        <v>-928.23272943804341</v>
      </c>
      <c r="E317">
        <f t="shared" si="26"/>
        <v>928.23272943804341</v>
      </c>
      <c r="F317" s="7">
        <f t="shared" si="30"/>
        <v>844278.70535562607</v>
      </c>
      <c r="G317" s="2">
        <f t="shared" si="27"/>
        <v>628</v>
      </c>
      <c r="J317" s="2">
        <v>1856.4654588760868</v>
      </c>
      <c r="K317" s="2">
        <f t="shared" si="28"/>
        <v>-928.23272943804341</v>
      </c>
      <c r="L317" s="2">
        <f t="shared" si="29"/>
        <v>928.23272943804341</v>
      </c>
    </row>
    <row r="318" spans="1:12" x14ac:dyDescent="0.25">
      <c r="A318">
        <v>316</v>
      </c>
      <c r="B318" s="1">
        <v>630</v>
      </c>
      <c r="C318" s="1">
        <v>1858.0635080642426</v>
      </c>
      <c r="D318">
        <f t="shared" si="25"/>
        <v>-929.03175403212128</v>
      </c>
      <c r="E318">
        <f t="shared" si="26"/>
        <v>929.03175403212128</v>
      </c>
      <c r="F318" s="7">
        <f t="shared" si="30"/>
        <v>847993.23432256642</v>
      </c>
      <c r="G318" s="2">
        <f t="shared" si="27"/>
        <v>630</v>
      </c>
      <c r="J318" s="2">
        <v>1858.0635080642426</v>
      </c>
      <c r="K318" s="2">
        <f t="shared" si="28"/>
        <v>-929.03175403212128</v>
      </c>
      <c r="L318" s="2">
        <f t="shared" si="29"/>
        <v>929.03175403212128</v>
      </c>
    </row>
    <row r="319" spans="1:12" x14ac:dyDescent="0.25">
      <c r="A319">
        <v>317</v>
      </c>
      <c r="B319" s="1">
        <v>632</v>
      </c>
      <c r="C319" s="1">
        <v>1859.6515802698095</v>
      </c>
      <c r="D319">
        <f t="shared" si="25"/>
        <v>-929.82579013490476</v>
      </c>
      <c r="E319">
        <f t="shared" si="26"/>
        <v>929.82579013490476</v>
      </c>
      <c r="F319" s="7">
        <f t="shared" si="30"/>
        <v>851710.94941090047</v>
      </c>
      <c r="G319" s="2">
        <f t="shared" si="27"/>
        <v>632</v>
      </c>
      <c r="J319" s="2">
        <v>1859.6515802698095</v>
      </c>
      <c r="K319" s="2">
        <f t="shared" si="28"/>
        <v>-929.82579013490476</v>
      </c>
      <c r="L319" s="2">
        <f t="shared" si="29"/>
        <v>929.82579013490476</v>
      </c>
    </row>
    <row r="320" spans="1:12" x14ac:dyDescent="0.25">
      <c r="A320">
        <v>318</v>
      </c>
      <c r="B320" s="1">
        <v>634</v>
      </c>
      <c r="C320" s="1">
        <v>1861.2297010310147</v>
      </c>
      <c r="D320">
        <f t="shared" si="25"/>
        <v>-930.61485051550733</v>
      </c>
      <c r="E320">
        <f t="shared" si="26"/>
        <v>930.61485051550733</v>
      </c>
      <c r="F320" s="7">
        <f t="shared" si="30"/>
        <v>855431.83069220127</v>
      </c>
      <c r="G320" s="2">
        <f t="shared" si="27"/>
        <v>634</v>
      </c>
      <c r="J320" s="2">
        <v>1861.2297010310147</v>
      </c>
      <c r="K320" s="2">
        <f t="shared" si="28"/>
        <v>-930.61485051550733</v>
      </c>
      <c r="L320" s="2">
        <f t="shared" si="29"/>
        <v>930.61485051550733</v>
      </c>
    </row>
    <row r="321" spans="1:12" x14ac:dyDescent="0.25">
      <c r="A321">
        <v>319</v>
      </c>
      <c r="B321" s="1">
        <v>636</v>
      </c>
      <c r="C321" s="1">
        <v>1862.7978956397819</v>
      </c>
      <c r="D321">
        <f t="shared" si="25"/>
        <v>-931.39894781989096</v>
      </c>
      <c r="E321">
        <f t="shared" si="26"/>
        <v>931.39894781989096</v>
      </c>
      <c r="F321" s="7">
        <f t="shared" si="30"/>
        <v>859155.85828887206</v>
      </c>
      <c r="G321" s="2">
        <f t="shared" si="27"/>
        <v>636</v>
      </c>
      <c r="J321" s="2">
        <v>1862.7978956397819</v>
      </c>
      <c r="K321" s="2">
        <f t="shared" si="28"/>
        <v>-931.39894781989096</v>
      </c>
      <c r="L321" s="2">
        <f t="shared" si="29"/>
        <v>931.39894781989096</v>
      </c>
    </row>
    <row r="322" spans="1:12" x14ac:dyDescent="0.25">
      <c r="A322">
        <v>320</v>
      </c>
      <c r="B322" s="1">
        <v>638</v>
      </c>
      <c r="C322" s="1">
        <v>1864.3561891441238</v>
      </c>
      <c r="D322">
        <f t="shared" si="25"/>
        <v>-932.17809457206192</v>
      </c>
      <c r="E322">
        <f t="shared" si="26"/>
        <v>932.17809457206192</v>
      </c>
      <c r="F322" s="7">
        <f t="shared" si="30"/>
        <v>862883.01237365592</v>
      </c>
      <c r="G322" s="2">
        <f t="shared" si="27"/>
        <v>638</v>
      </c>
      <c r="J322" s="2">
        <v>1864.3561891441238</v>
      </c>
      <c r="K322" s="2">
        <f t="shared" si="28"/>
        <v>-932.17809457206192</v>
      </c>
      <c r="L322" s="2">
        <f t="shared" si="29"/>
        <v>932.17809457206192</v>
      </c>
    </row>
    <row r="323" spans="1:12" x14ac:dyDescent="0.25">
      <c r="A323">
        <v>321</v>
      </c>
      <c r="B323" s="1">
        <v>640</v>
      </c>
      <c r="C323" s="1">
        <v>1865.9046063504961</v>
      </c>
      <c r="D323">
        <f t="shared" si="25"/>
        <v>-932.95230317524806</v>
      </c>
      <c r="E323">
        <f t="shared" si="26"/>
        <v>932.95230317524806</v>
      </c>
      <c r="F323" s="7">
        <f t="shared" si="30"/>
        <v>866613.27316915058</v>
      </c>
      <c r="G323" s="2">
        <f t="shared" si="27"/>
        <v>640</v>
      </c>
      <c r="J323" s="2">
        <v>1865.9046063504961</v>
      </c>
      <c r="K323" s="2">
        <f t="shared" si="28"/>
        <v>-932.95230317524806</v>
      </c>
      <c r="L323" s="2">
        <f t="shared" si="29"/>
        <v>932.95230317524806</v>
      </c>
    </row>
    <row r="324" spans="1:12" x14ac:dyDescent="0.25">
      <c r="A324">
        <v>322</v>
      </c>
      <c r="B324" s="1">
        <v>642</v>
      </c>
      <c r="C324" s="1">
        <v>1867.4431718261201</v>
      </c>
      <c r="D324">
        <f t="shared" ref="D324:D387" si="31">IF(A324&lt;=COUNT(B:B),-1*C324/2,NA())</f>
        <v>-933.72158591306004</v>
      </c>
      <c r="E324">
        <f t="shared" ref="E324:E387" si="32">IF(A324&lt;=COUNT(B:B),C324/2,NA())</f>
        <v>933.72158591306004</v>
      </c>
      <c r="F324" s="7">
        <f t="shared" si="30"/>
        <v>870346.62094732723</v>
      </c>
      <c r="G324" s="2">
        <f t="shared" ref="G324:G387" si="33">B324-$B$3</f>
        <v>642</v>
      </c>
      <c r="J324" s="2">
        <v>1867.4431718261201</v>
      </c>
      <c r="K324" s="2">
        <f t="shared" ref="K324:K387" si="34">IF(A324&lt;=COUNT(B:B),$J324/2*-1,NA())</f>
        <v>-933.72158591306004</v>
      </c>
      <c r="L324" s="2">
        <f t="shared" ref="L324:L387" si="35">IF(A324&lt;=COUNT(B:B),$J324/2,NA())</f>
        <v>933.72158591306004</v>
      </c>
    </row>
    <row r="325" spans="1:12" x14ac:dyDescent="0.25">
      <c r="A325">
        <v>323</v>
      </c>
      <c r="B325" s="1">
        <v>644</v>
      </c>
      <c r="C325" s="1">
        <v>1868.9719099012698</v>
      </c>
      <c r="D325">
        <f t="shared" si="31"/>
        <v>-934.48595495063489</v>
      </c>
      <c r="E325">
        <f t="shared" si="32"/>
        <v>934.48595495063489</v>
      </c>
      <c r="F325" s="7">
        <f t="shared" ref="F325:F388" si="36">IF(A324&lt;COUNT(B:B),(($C325+$C324)*(B325-B324)/2)+F324,"")</f>
        <v>874083.03602905467</v>
      </c>
      <c r="G325" s="2">
        <f t="shared" si="33"/>
        <v>644</v>
      </c>
      <c r="J325" s="2">
        <v>1868.9719099012698</v>
      </c>
      <c r="K325" s="2">
        <f t="shared" si="34"/>
        <v>-934.48595495063489</v>
      </c>
      <c r="L325" s="2">
        <f t="shared" si="35"/>
        <v>934.48595495063489</v>
      </c>
    </row>
    <row r="326" spans="1:12" x14ac:dyDescent="0.25">
      <c r="A326">
        <v>324</v>
      </c>
      <c r="B326" s="1">
        <v>646</v>
      </c>
      <c r="C326" s="1">
        <v>1870.4908446715262</v>
      </c>
      <c r="D326">
        <f t="shared" si="31"/>
        <v>-935.24542233576312</v>
      </c>
      <c r="E326">
        <f t="shared" si="32"/>
        <v>935.24542233576312</v>
      </c>
      <c r="F326" s="7">
        <f t="shared" si="36"/>
        <v>877822.49878362741</v>
      </c>
      <c r="G326" s="2">
        <f t="shared" si="33"/>
        <v>646</v>
      </c>
      <c r="J326" s="2">
        <v>1870.4908446715262</v>
      </c>
      <c r="K326" s="2">
        <f t="shared" si="34"/>
        <v>-935.24542233576312</v>
      </c>
      <c r="L326" s="2">
        <f t="shared" si="35"/>
        <v>935.24542233576312</v>
      </c>
    </row>
    <row r="327" spans="1:12" x14ac:dyDescent="0.25">
      <c r="A327">
        <v>325</v>
      </c>
      <c r="B327" s="1">
        <v>648</v>
      </c>
      <c r="C327" s="1">
        <v>1872</v>
      </c>
      <c r="D327">
        <f t="shared" si="31"/>
        <v>-936</v>
      </c>
      <c r="E327">
        <f t="shared" si="32"/>
        <v>936</v>
      </c>
      <c r="F327" s="7">
        <f t="shared" si="36"/>
        <v>881564.98962829891</v>
      </c>
      <c r="G327" s="2">
        <f t="shared" si="33"/>
        <v>648</v>
      </c>
      <c r="J327" s="2">
        <v>1872</v>
      </c>
      <c r="K327" s="2">
        <f t="shared" si="34"/>
        <v>-936</v>
      </c>
      <c r="L327" s="2">
        <f t="shared" si="35"/>
        <v>936</v>
      </c>
    </row>
    <row r="328" spans="1:12" x14ac:dyDescent="0.25">
      <c r="A328">
        <v>326</v>
      </c>
      <c r="B328" s="1">
        <v>650</v>
      </c>
      <c r="C328" s="1">
        <v>1873.4993995195196</v>
      </c>
      <c r="D328">
        <f t="shared" si="31"/>
        <v>-936.74969975975978</v>
      </c>
      <c r="E328">
        <f t="shared" si="32"/>
        <v>936.74969975975978</v>
      </c>
      <c r="F328" s="7">
        <f t="shared" si="36"/>
        <v>885310.48902781843</v>
      </c>
      <c r="G328" s="2">
        <f t="shared" si="33"/>
        <v>650</v>
      </c>
      <c r="J328" s="2">
        <v>1873.4993995195196</v>
      </c>
      <c r="K328" s="2">
        <f t="shared" si="34"/>
        <v>-936.74969975975978</v>
      </c>
      <c r="L328" s="2">
        <f t="shared" si="35"/>
        <v>936.74969975975978</v>
      </c>
    </row>
    <row r="329" spans="1:12" x14ac:dyDescent="0.25">
      <c r="A329">
        <v>327</v>
      </c>
      <c r="B329" s="1">
        <v>652</v>
      </c>
      <c r="C329" s="1">
        <v>1874.9890666347897</v>
      </c>
      <c r="D329">
        <f t="shared" si="31"/>
        <v>-937.49453331739483</v>
      </c>
      <c r="E329">
        <f t="shared" si="32"/>
        <v>937.49453331739483</v>
      </c>
      <c r="F329" s="7">
        <f t="shared" si="36"/>
        <v>889058.97749397275</v>
      </c>
      <c r="G329" s="2">
        <f t="shared" si="33"/>
        <v>652</v>
      </c>
      <c r="J329" s="2">
        <v>1874.9890666347897</v>
      </c>
      <c r="K329" s="2">
        <f t="shared" si="34"/>
        <v>-937.49453331739483</v>
      </c>
      <c r="L329" s="2">
        <f t="shared" si="35"/>
        <v>937.49453331739483</v>
      </c>
    </row>
    <row r="330" spans="1:12" x14ac:dyDescent="0.25">
      <c r="A330">
        <v>328</v>
      </c>
      <c r="B330" s="1">
        <v>654</v>
      </c>
      <c r="C330" s="1">
        <v>1876.469024524519</v>
      </c>
      <c r="D330">
        <f t="shared" si="31"/>
        <v>-938.2345122622595</v>
      </c>
      <c r="E330">
        <f t="shared" si="32"/>
        <v>938.2345122622595</v>
      </c>
      <c r="F330" s="7">
        <f t="shared" si="36"/>
        <v>892810.4355851321</v>
      </c>
      <c r="G330" s="2">
        <f t="shared" si="33"/>
        <v>654</v>
      </c>
      <c r="J330" s="2">
        <v>1876.469024524519</v>
      </c>
      <c r="K330" s="2">
        <f t="shared" si="34"/>
        <v>-938.2345122622595</v>
      </c>
      <c r="L330" s="2">
        <f t="shared" si="35"/>
        <v>938.2345122622595</v>
      </c>
    </row>
    <row r="331" spans="1:12" x14ac:dyDescent="0.25">
      <c r="A331">
        <v>329</v>
      </c>
      <c r="B331" s="1">
        <v>656</v>
      </c>
      <c r="C331" s="1">
        <v>1877.9392961435149</v>
      </c>
      <c r="D331">
        <f t="shared" si="31"/>
        <v>-938.96964807175743</v>
      </c>
      <c r="E331">
        <f t="shared" si="32"/>
        <v>938.96964807175743</v>
      </c>
      <c r="F331" s="7">
        <f t="shared" si="36"/>
        <v>896564.84390580014</v>
      </c>
      <c r="G331" s="2">
        <f t="shared" si="33"/>
        <v>656</v>
      </c>
      <c r="J331" s="2">
        <v>1877.9392961435149</v>
      </c>
      <c r="K331" s="2">
        <f t="shared" si="34"/>
        <v>-938.96964807175743</v>
      </c>
      <c r="L331" s="2">
        <f t="shared" si="35"/>
        <v>938.96964807175743</v>
      </c>
    </row>
    <row r="332" spans="1:12" x14ac:dyDescent="0.25">
      <c r="A332">
        <v>330</v>
      </c>
      <c r="B332" s="1">
        <v>658</v>
      </c>
      <c r="C332" s="1">
        <v>1879.3999042247501</v>
      </c>
      <c r="D332">
        <f t="shared" si="31"/>
        <v>-939.69995211237506</v>
      </c>
      <c r="E332">
        <f t="shared" si="32"/>
        <v>939.69995211237506</v>
      </c>
      <c r="F332" s="7">
        <f t="shared" si="36"/>
        <v>900322.18310616841</v>
      </c>
      <c r="G332" s="2">
        <f t="shared" si="33"/>
        <v>658</v>
      </c>
      <c r="J332" s="2">
        <v>1879.3999042247501</v>
      </c>
      <c r="K332" s="2">
        <f t="shared" si="34"/>
        <v>-939.69995211237506</v>
      </c>
      <c r="L332" s="2">
        <f t="shared" si="35"/>
        <v>939.69995211237506</v>
      </c>
    </row>
    <row r="333" spans="1:12" x14ac:dyDescent="0.25">
      <c r="A333">
        <v>331</v>
      </c>
      <c r="B333" s="1">
        <v>660</v>
      </c>
      <c r="C333" s="1">
        <v>1880.8508712813996</v>
      </c>
      <c r="D333">
        <f t="shared" si="31"/>
        <v>-940.42543564069979</v>
      </c>
      <c r="E333">
        <f t="shared" si="32"/>
        <v>940.42543564069979</v>
      </c>
      <c r="F333" s="7">
        <f t="shared" si="36"/>
        <v>904082.43388167454</v>
      </c>
      <c r="G333" s="2">
        <f t="shared" si="33"/>
        <v>660</v>
      </c>
      <c r="J333" s="2">
        <v>1880.8508712813996</v>
      </c>
      <c r="K333" s="2">
        <f t="shared" si="34"/>
        <v>-940.42543564069979</v>
      </c>
      <c r="L333" s="2">
        <f t="shared" si="35"/>
        <v>940.42543564069979</v>
      </c>
    </row>
    <row r="334" spans="1:12" x14ac:dyDescent="0.25">
      <c r="A334">
        <v>332</v>
      </c>
      <c r="B334" s="1">
        <v>662</v>
      </c>
      <c r="C334" s="1">
        <v>1882.2922196088471</v>
      </c>
      <c r="D334">
        <f t="shared" si="31"/>
        <v>-941.14610980442353</v>
      </c>
      <c r="E334">
        <f t="shared" si="32"/>
        <v>941.14610980442353</v>
      </c>
      <c r="F334" s="7">
        <f t="shared" si="36"/>
        <v>907845.5769725648</v>
      </c>
      <c r="G334" s="2">
        <f t="shared" si="33"/>
        <v>662</v>
      </c>
      <c r="J334" s="2">
        <v>1882.2922196088471</v>
      </c>
      <c r="K334" s="2">
        <f t="shared" si="34"/>
        <v>-941.14610980442353</v>
      </c>
      <c r="L334" s="2">
        <f t="shared" si="35"/>
        <v>941.14610980442353</v>
      </c>
    </row>
    <row r="335" spans="1:12" x14ac:dyDescent="0.25">
      <c r="A335">
        <v>333</v>
      </c>
      <c r="B335" s="1">
        <v>664</v>
      </c>
      <c r="C335" s="1">
        <v>1883.7239712866638</v>
      </c>
      <c r="D335">
        <f t="shared" si="31"/>
        <v>-941.86198564333188</v>
      </c>
      <c r="E335">
        <f t="shared" si="32"/>
        <v>941.86198564333188</v>
      </c>
      <c r="F335" s="7">
        <f t="shared" si="36"/>
        <v>911611.59316346026</v>
      </c>
      <c r="G335" s="2">
        <f t="shared" si="33"/>
        <v>664</v>
      </c>
      <c r="J335" s="2">
        <v>1883.7239712866638</v>
      </c>
      <c r="K335" s="2">
        <f t="shared" si="34"/>
        <v>-941.86198564333188</v>
      </c>
      <c r="L335" s="2">
        <f t="shared" si="35"/>
        <v>941.86198564333188</v>
      </c>
    </row>
    <row r="336" spans="1:12" x14ac:dyDescent="0.25">
      <c r="A336">
        <v>334</v>
      </c>
      <c r="B336" s="1">
        <v>666</v>
      </c>
      <c r="C336" s="1">
        <v>1885.1461481805595</v>
      </c>
      <c r="D336">
        <f t="shared" si="31"/>
        <v>-942.57307409027976</v>
      </c>
      <c r="E336">
        <f t="shared" si="32"/>
        <v>942.57307409027976</v>
      </c>
      <c r="F336" s="7">
        <f t="shared" si="36"/>
        <v>915380.46328292752</v>
      </c>
      <c r="G336" s="2">
        <f t="shared" si="33"/>
        <v>666</v>
      </c>
      <c r="J336" s="2">
        <v>1885.1461481805595</v>
      </c>
      <c r="K336" s="2">
        <f t="shared" si="34"/>
        <v>-942.57307409027976</v>
      </c>
      <c r="L336" s="2">
        <f t="shared" si="35"/>
        <v>942.57307409027976</v>
      </c>
    </row>
    <row r="337" spans="1:12" x14ac:dyDescent="0.25">
      <c r="A337">
        <v>335</v>
      </c>
      <c r="B337" s="1">
        <v>668</v>
      </c>
      <c r="C337" s="1">
        <v>1886.558771944304</v>
      </c>
      <c r="D337">
        <f t="shared" si="31"/>
        <v>-943.279385972152</v>
      </c>
      <c r="E337">
        <f t="shared" si="32"/>
        <v>943.279385972152</v>
      </c>
      <c r="F337" s="7">
        <f t="shared" si="36"/>
        <v>919152.16820305237</v>
      </c>
      <c r="G337" s="2">
        <f t="shared" si="33"/>
        <v>668</v>
      </c>
      <c r="J337" s="2">
        <v>1886.558771944304</v>
      </c>
      <c r="K337" s="2">
        <f t="shared" si="34"/>
        <v>-943.279385972152</v>
      </c>
      <c r="L337" s="2">
        <f t="shared" si="35"/>
        <v>943.279385972152</v>
      </c>
    </row>
    <row r="338" spans="1:12" x14ac:dyDescent="0.25">
      <c r="A338">
        <v>336</v>
      </c>
      <c r="B338" s="1">
        <v>670</v>
      </c>
      <c r="C338" s="1">
        <v>1887.9618640216227</v>
      </c>
      <c r="D338">
        <f t="shared" si="31"/>
        <v>-943.98093201081133</v>
      </c>
      <c r="E338">
        <f t="shared" si="32"/>
        <v>943.98093201081133</v>
      </c>
      <c r="F338" s="7">
        <f t="shared" si="36"/>
        <v>922926.68883901834</v>
      </c>
      <c r="G338" s="2">
        <f t="shared" si="33"/>
        <v>670</v>
      </c>
      <c r="J338" s="2">
        <v>1887.9618640216227</v>
      </c>
      <c r="K338" s="2">
        <f t="shared" si="34"/>
        <v>-943.98093201081133</v>
      </c>
      <c r="L338" s="2">
        <f t="shared" si="35"/>
        <v>943.98093201081133</v>
      </c>
    </row>
    <row r="339" spans="1:12" x14ac:dyDescent="0.25">
      <c r="A339">
        <v>337</v>
      </c>
      <c r="B339" s="1">
        <v>672</v>
      </c>
      <c r="C339" s="1">
        <v>1889.3554456480654</v>
      </c>
      <c r="D339">
        <f t="shared" si="31"/>
        <v>-944.67772282403268</v>
      </c>
      <c r="E339">
        <f t="shared" si="32"/>
        <v>944.67772282403268</v>
      </c>
      <c r="F339" s="7">
        <f t="shared" si="36"/>
        <v>926704.00614868803</v>
      </c>
      <c r="G339" s="2">
        <f t="shared" si="33"/>
        <v>672</v>
      </c>
      <c r="J339" s="2">
        <v>1889.3554456480654</v>
      </c>
      <c r="K339" s="2">
        <f t="shared" si="34"/>
        <v>-944.67772282403268</v>
      </c>
      <c r="L339" s="2">
        <f t="shared" si="35"/>
        <v>944.67772282403268</v>
      </c>
    </row>
    <row r="340" spans="1:12" x14ac:dyDescent="0.25">
      <c r="A340">
        <v>338</v>
      </c>
      <c r="B340" s="1">
        <v>674</v>
      </c>
      <c r="C340" s="1">
        <v>1890.7395378528477</v>
      </c>
      <c r="D340">
        <f t="shared" si="31"/>
        <v>-945.36976892642383</v>
      </c>
      <c r="E340">
        <f t="shared" si="32"/>
        <v>945.36976892642383</v>
      </c>
      <c r="F340" s="7">
        <f t="shared" si="36"/>
        <v>930484.10113218892</v>
      </c>
      <c r="G340" s="2">
        <f t="shared" si="33"/>
        <v>674</v>
      </c>
      <c r="J340" s="2">
        <v>1890.7395378528477</v>
      </c>
      <c r="K340" s="2">
        <f t="shared" si="34"/>
        <v>-945.36976892642383</v>
      </c>
      <c r="L340" s="2">
        <f t="shared" si="35"/>
        <v>945.36976892642383</v>
      </c>
    </row>
    <row r="341" spans="1:12" x14ac:dyDescent="0.25">
      <c r="A341">
        <v>339</v>
      </c>
      <c r="B341" s="1">
        <v>676</v>
      </c>
      <c r="C341" s="1">
        <v>1892.1141614606663</v>
      </c>
      <c r="D341">
        <f t="shared" si="31"/>
        <v>-946.05708073033315</v>
      </c>
      <c r="E341">
        <f t="shared" si="32"/>
        <v>946.05708073033315</v>
      </c>
      <c r="F341" s="7">
        <f t="shared" si="36"/>
        <v>934266.9548315024</v>
      </c>
      <c r="G341" s="2">
        <f t="shared" si="33"/>
        <v>676</v>
      </c>
      <c r="J341" s="2">
        <v>1892.1141614606663</v>
      </c>
      <c r="K341" s="2">
        <f t="shared" si="34"/>
        <v>-946.05708073033315</v>
      </c>
      <c r="L341" s="2">
        <f t="shared" si="35"/>
        <v>946.05708073033315</v>
      </c>
    </row>
    <row r="342" spans="1:12" x14ac:dyDescent="0.25">
      <c r="A342">
        <v>340</v>
      </c>
      <c r="B342" s="1">
        <v>678</v>
      </c>
      <c r="C342" s="1">
        <v>1893.4793370934894</v>
      </c>
      <c r="D342">
        <f t="shared" si="31"/>
        <v>-946.73966854674472</v>
      </c>
      <c r="E342">
        <f t="shared" si="32"/>
        <v>946.73966854674472</v>
      </c>
      <c r="F342" s="7">
        <f t="shared" si="36"/>
        <v>938052.5483300566</v>
      </c>
      <c r="G342" s="2">
        <f t="shared" si="33"/>
        <v>678</v>
      </c>
      <c r="J342" s="2">
        <v>1893.4793370934894</v>
      </c>
      <c r="K342" s="2">
        <f t="shared" si="34"/>
        <v>-946.73966854674472</v>
      </c>
      <c r="L342" s="2">
        <f t="shared" si="35"/>
        <v>946.73966854674472</v>
      </c>
    </row>
    <row r="343" spans="1:12" x14ac:dyDescent="0.25">
      <c r="A343">
        <v>341</v>
      </c>
      <c r="B343" s="1">
        <v>680</v>
      </c>
      <c r="C343" s="1">
        <v>1894.8350851723219</v>
      </c>
      <c r="D343">
        <f t="shared" si="31"/>
        <v>-947.41754258616095</v>
      </c>
      <c r="E343">
        <f t="shared" si="32"/>
        <v>947.41754258616095</v>
      </c>
      <c r="F343" s="7">
        <f t="shared" si="36"/>
        <v>941840.86275232246</v>
      </c>
      <c r="G343" s="2">
        <f t="shared" si="33"/>
        <v>680</v>
      </c>
      <c r="J343" s="2">
        <v>1894.8350851723219</v>
      </c>
      <c r="K343" s="2">
        <f t="shared" si="34"/>
        <v>-947.41754258616095</v>
      </c>
      <c r="L343" s="2">
        <f t="shared" si="35"/>
        <v>947.41754258616095</v>
      </c>
    </row>
    <row r="344" spans="1:12" x14ac:dyDescent="0.25">
      <c r="A344">
        <v>342</v>
      </c>
      <c r="B344" s="1">
        <v>682</v>
      </c>
      <c r="C344" s="1">
        <v>1896.1814259189441</v>
      </c>
      <c r="D344">
        <f t="shared" si="31"/>
        <v>-948.09071295947206</v>
      </c>
      <c r="E344">
        <f t="shared" si="32"/>
        <v>948.09071295947206</v>
      </c>
      <c r="F344" s="7">
        <f t="shared" si="36"/>
        <v>945631.87926341372</v>
      </c>
      <c r="G344" s="2">
        <f t="shared" si="33"/>
        <v>682</v>
      </c>
      <c r="J344" s="2">
        <v>1896.1814259189441</v>
      </c>
      <c r="K344" s="2">
        <f t="shared" si="34"/>
        <v>-948.09071295947206</v>
      </c>
      <c r="L344" s="2">
        <f t="shared" si="35"/>
        <v>948.09071295947206</v>
      </c>
    </row>
    <row r="345" spans="1:12" x14ac:dyDescent="0.25">
      <c r="A345">
        <v>343</v>
      </c>
      <c r="B345" s="1">
        <v>684</v>
      </c>
      <c r="C345" s="1">
        <v>1897.5183793576282</v>
      </c>
      <c r="D345">
        <f t="shared" si="31"/>
        <v>-948.7591896788141</v>
      </c>
      <c r="E345">
        <f t="shared" si="32"/>
        <v>948.7591896788141</v>
      </c>
      <c r="F345" s="7">
        <f t="shared" si="36"/>
        <v>949425.57906869031</v>
      </c>
      <c r="G345" s="2">
        <f t="shared" si="33"/>
        <v>684</v>
      </c>
      <c r="J345" s="2">
        <v>1897.5183793576282</v>
      </c>
      <c r="K345" s="2">
        <f t="shared" si="34"/>
        <v>-948.7591896788141</v>
      </c>
      <c r="L345" s="2">
        <f t="shared" si="35"/>
        <v>948.7591896788141</v>
      </c>
    </row>
    <row r="346" spans="1:12" x14ac:dyDescent="0.25">
      <c r="A346">
        <v>344</v>
      </c>
      <c r="B346" s="1">
        <v>686</v>
      </c>
      <c r="C346" s="1">
        <v>1898.8459653168291</v>
      </c>
      <c r="D346">
        <f t="shared" si="31"/>
        <v>-949.42298265841453</v>
      </c>
      <c r="E346">
        <f t="shared" si="32"/>
        <v>949.42298265841453</v>
      </c>
      <c r="F346" s="7">
        <f t="shared" si="36"/>
        <v>953221.94341336482</v>
      </c>
      <c r="G346" s="2">
        <f t="shared" si="33"/>
        <v>686</v>
      </c>
      <c r="J346" s="2">
        <v>1898.8459653168291</v>
      </c>
      <c r="K346" s="2">
        <f t="shared" si="34"/>
        <v>-949.42298265841453</v>
      </c>
      <c r="L346" s="2">
        <f t="shared" si="35"/>
        <v>949.42298265841453</v>
      </c>
    </row>
    <row r="347" spans="1:12" x14ac:dyDescent="0.25">
      <c r="A347">
        <v>345</v>
      </c>
      <c r="B347" s="1">
        <v>688</v>
      </c>
      <c r="C347" s="1">
        <v>1900.1642034308509</v>
      </c>
      <c r="D347">
        <f t="shared" si="31"/>
        <v>-950.08210171542544</v>
      </c>
      <c r="E347">
        <f t="shared" si="32"/>
        <v>950.08210171542544</v>
      </c>
      <c r="F347" s="7">
        <f t="shared" si="36"/>
        <v>957020.95358211244</v>
      </c>
      <c r="G347" s="2">
        <f t="shared" si="33"/>
        <v>688</v>
      </c>
      <c r="J347" s="2">
        <v>1900.1642034308509</v>
      </c>
      <c r="K347" s="2">
        <f t="shared" si="34"/>
        <v>-950.08210171542544</v>
      </c>
      <c r="L347" s="2">
        <f t="shared" si="35"/>
        <v>950.08210171542544</v>
      </c>
    </row>
    <row r="348" spans="1:12" x14ac:dyDescent="0.25">
      <c r="A348">
        <v>346</v>
      </c>
      <c r="B348" s="1">
        <v>690</v>
      </c>
      <c r="C348" s="1">
        <v>1901.4731131414928</v>
      </c>
      <c r="D348">
        <f t="shared" si="31"/>
        <v>-950.73655657074642</v>
      </c>
      <c r="E348">
        <f t="shared" si="32"/>
        <v>950.73655657074642</v>
      </c>
      <c r="F348" s="7">
        <f t="shared" si="36"/>
        <v>960822.59089868481</v>
      </c>
      <c r="G348" s="2">
        <f t="shared" si="33"/>
        <v>690</v>
      </c>
      <c r="J348" s="2">
        <v>1901.4731131414928</v>
      </c>
      <c r="K348" s="2">
        <f t="shared" si="34"/>
        <v>-950.73655657074642</v>
      </c>
      <c r="L348" s="2">
        <f t="shared" si="35"/>
        <v>950.73655657074642</v>
      </c>
    </row>
    <row r="349" spans="1:12" x14ac:dyDescent="0.25">
      <c r="A349">
        <v>347</v>
      </c>
      <c r="B349" s="1">
        <v>692</v>
      </c>
      <c r="C349" s="1">
        <v>1902.7727136996684</v>
      </c>
      <c r="D349">
        <f t="shared" si="31"/>
        <v>-951.38635684983421</v>
      </c>
      <c r="E349">
        <f t="shared" si="32"/>
        <v>951.38635684983421</v>
      </c>
      <c r="F349" s="7">
        <f t="shared" si="36"/>
        <v>964626.83672552602</v>
      </c>
      <c r="G349" s="2">
        <f t="shared" si="33"/>
        <v>692</v>
      </c>
      <c r="J349" s="2">
        <v>1902.7727136996684</v>
      </c>
      <c r="K349" s="2">
        <f t="shared" si="34"/>
        <v>-951.38635684983421</v>
      </c>
      <c r="L349" s="2">
        <f t="shared" si="35"/>
        <v>951.38635684983421</v>
      </c>
    </row>
    <row r="350" spans="1:12" x14ac:dyDescent="0.25">
      <c r="A350">
        <v>348</v>
      </c>
      <c r="B350" s="1">
        <v>694</v>
      </c>
      <c r="C350" s="1">
        <v>1904.0630241670049</v>
      </c>
      <c r="D350">
        <f t="shared" si="31"/>
        <v>-952.03151208350243</v>
      </c>
      <c r="E350">
        <f t="shared" si="32"/>
        <v>952.03151208350243</v>
      </c>
      <c r="F350" s="7">
        <f t="shared" si="36"/>
        <v>968433.67246339272</v>
      </c>
      <c r="G350" s="2">
        <f t="shared" si="33"/>
        <v>694</v>
      </c>
      <c r="J350" s="2">
        <v>1904.0630241670049</v>
      </c>
      <c r="K350" s="2">
        <f t="shared" si="34"/>
        <v>-952.03151208350243</v>
      </c>
      <c r="L350" s="2">
        <f t="shared" si="35"/>
        <v>952.03151208350243</v>
      </c>
    </row>
    <row r="351" spans="1:12" x14ac:dyDescent="0.25">
      <c r="A351">
        <v>349</v>
      </c>
      <c r="B351" s="1">
        <v>696</v>
      </c>
      <c r="C351" s="1">
        <v>1905.3440634174185</v>
      </c>
      <c r="D351">
        <f t="shared" si="31"/>
        <v>-952.67203170870926</v>
      </c>
      <c r="E351">
        <f t="shared" si="32"/>
        <v>952.67203170870926</v>
      </c>
      <c r="F351" s="7">
        <f t="shared" si="36"/>
        <v>972243.0795509771</v>
      </c>
      <c r="G351" s="2">
        <f t="shared" si="33"/>
        <v>696</v>
      </c>
      <c r="J351" s="2">
        <v>1905.3440634174185</v>
      </c>
      <c r="K351" s="2">
        <f t="shared" si="34"/>
        <v>-952.67203170870926</v>
      </c>
      <c r="L351" s="2">
        <f t="shared" si="35"/>
        <v>952.67203170870926</v>
      </c>
    </row>
    <row r="352" spans="1:12" x14ac:dyDescent="0.25">
      <c r="A352">
        <v>350</v>
      </c>
      <c r="B352" s="1">
        <v>698</v>
      </c>
      <c r="C352" s="1">
        <v>1906.6158501386692</v>
      </c>
      <c r="D352">
        <f t="shared" si="31"/>
        <v>-953.3079250693346</v>
      </c>
      <c r="E352">
        <f t="shared" si="32"/>
        <v>953.3079250693346</v>
      </c>
      <c r="F352" s="7">
        <f t="shared" si="36"/>
        <v>976055.03946453321</v>
      </c>
      <c r="G352" s="2">
        <f t="shared" si="33"/>
        <v>698</v>
      </c>
      <c r="J352" s="2">
        <v>1906.6158501386692</v>
      </c>
      <c r="K352" s="2">
        <f t="shared" si="34"/>
        <v>-953.3079250693346</v>
      </c>
      <c r="L352" s="2">
        <f t="shared" si="35"/>
        <v>953.3079250693346</v>
      </c>
    </row>
    <row r="353" spans="1:12" x14ac:dyDescent="0.25">
      <c r="A353">
        <v>351</v>
      </c>
      <c r="B353" s="1">
        <v>700</v>
      </c>
      <c r="C353" s="1">
        <v>1907.8784028338912</v>
      </c>
      <c r="D353">
        <f t="shared" si="31"/>
        <v>-953.93920141694559</v>
      </c>
      <c r="E353">
        <f t="shared" si="32"/>
        <v>953.93920141694559</v>
      </c>
      <c r="F353" s="7">
        <f t="shared" si="36"/>
        <v>979869.53371750575</v>
      </c>
      <c r="G353" s="2">
        <f t="shared" si="33"/>
        <v>700</v>
      </c>
      <c r="J353" s="2">
        <v>1907.8784028338912</v>
      </c>
      <c r="K353" s="2">
        <f t="shared" si="34"/>
        <v>-953.93920141694559</v>
      </c>
      <c r="L353" s="2">
        <f t="shared" si="35"/>
        <v>953.93920141694559</v>
      </c>
    </row>
    <row r="354" spans="1:12" x14ac:dyDescent="0.25">
      <c r="A354">
        <v>352</v>
      </c>
      <c r="B354" s="1">
        <v>702</v>
      </c>
      <c r="C354" s="1">
        <v>1909.131739823106</v>
      </c>
      <c r="D354">
        <f t="shared" si="31"/>
        <v>-954.56586991155302</v>
      </c>
      <c r="E354">
        <f t="shared" si="32"/>
        <v>954.56586991155302</v>
      </c>
      <c r="F354" s="7">
        <f t="shared" si="36"/>
        <v>983686.54386016272</v>
      </c>
      <c r="G354" s="2">
        <f t="shared" si="33"/>
        <v>702</v>
      </c>
      <c r="J354" s="2">
        <v>1909.131739823106</v>
      </c>
      <c r="K354" s="2">
        <f t="shared" si="34"/>
        <v>-954.56586991155302</v>
      </c>
      <c r="L354" s="2">
        <f t="shared" si="35"/>
        <v>954.56586991155302</v>
      </c>
    </row>
    <row r="355" spans="1:12" x14ac:dyDescent="0.25">
      <c r="A355">
        <v>353</v>
      </c>
      <c r="B355" s="1">
        <v>704</v>
      </c>
      <c r="C355" s="1">
        <v>1910.3758792447104</v>
      </c>
      <c r="D355">
        <f t="shared" si="31"/>
        <v>-955.1879396223552</v>
      </c>
      <c r="E355">
        <f t="shared" si="32"/>
        <v>955.1879396223552</v>
      </c>
      <c r="F355" s="7">
        <f t="shared" si="36"/>
        <v>987506.05147923052</v>
      </c>
      <c r="G355" s="2">
        <f t="shared" si="33"/>
        <v>704</v>
      </c>
      <c r="J355" s="2">
        <v>1910.3758792447104</v>
      </c>
      <c r="K355" s="2">
        <f t="shared" si="34"/>
        <v>-955.1879396223552</v>
      </c>
      <c r="L355" s="2">
        <f t="shared" si="35"/>
        <v>955.1879396223552</v>
      </c>
    </row>
    <row r="356" spans="1:12" x14ac:dyDescent="0.25">
      <c r="A356">
        <v>354</v>
      </c>
      <c r="B356" s="1">
        <v>706</v>
      </c>
      <c r="C356" s="1">
        <v>1911.6108390569457</v>
      </c>
      <c r="D356">
        <f t="shared" si="31"/>
        <v>-955.80541952847284</v>
      </c>
      <c r="E356">
        <f t="shared" si="32"/>
        <v>955.80541952847284</v>
      </c>
      <c r="F356" s="7">
        <f t="shared" si="36"/>
        <v>991328.03819753218</v>
      </c>
      <c r="G356" s="2">
        <f t="shared" si="33"/>
        <v>706</v>
      </c>
      <c r="J356" s="2">
        <v>1911.6108390569457</v>
      </c>
      <c r="K356" s="2">
        <f t="shared" si="34"/>
        <v>-955.80541952847284</v>
      </c>
      <c r="L356" s="2">
        <f t="shared" si="35"/>
        <v>955.80541952847284</v>
      </c>
    </row>
    <row r="357" spans="1:12" x14ac:dyDescent="0.25">
      <c r="A357">
        <v>355</v>
      </c>
      <c r="B357" s="1">
        <v>708</v>
      </c>
      <c r="C357" s="1">
        <v>1912.8366370393474</v>
      </c>
      <c r="D357">
        <f t="shared" si="31"/>
        <v>-956.41831851967368</v>
      </c>
      <c r="E357">
        <f t="shared" si="32"/>
        <v>956.41831851967368</v>
      </c>
      <c r="F357" s="7">
        <f t="shared" si="36"/>
        <v>995152.48567362851</v>
      </c>
      <c r="G357" s="2">
        <f t="shared" si="33"/>
        <v>708</v>
      </c>
      <c r="J357" s="2">
        <v>1912.8366370393474</v>
      </c>
      <c r="K357" s="2">
        <f t="shared" si="34"/>
        <v>-956.41831851967368</v>
      </c>
      <c r="L357" s="2">
        <f t="shared" si="35"/>
        <v>956.41831851967368</v>
      </c>
    </row>
    <row r="358" spans="1:12" x14ac:dyDescent="0.25">
      <c r="A358">
        <v>356</v>
      </c>
      <c r="B358" s="1">
        <v>710</v>
      </c>
      <c r="C358" s="1">
        <v>1914.0532907941722</v>
      </c>
      <c r="D358">
        <f t="shared" si="31"/>
        <v>-957.0266453970861</v>
      </c>
      <c r="E358">
        <f t="shared" si="32"/>
        <v>957.0266453970861</v>
      </c>
      <c r="F358" s="7">
        <f t="shared" si="36"/>
        <v>998979.37560146209</v>
      </c>
      <c r="G358" s="2">
        <f t="shared" si="33"/>
        <v>710</v>
      </c>
      <c r="J358" s="2">
        <v>1914.0532907941722</v>
      </c>
      <c r="K358" s="2">
        <f t="shared" si="34"/>
        <v>-957.0266453970861</v>
      </c>
      <c r="L358" s="2">
        <f t="shared" si="35"/>
        <v>957.0266453970861</v>
      </c>
    </row>
    <row r="359" spans="1:12" x14ac:dyDescent="0.25">
      <c r="A359">
        <v>357</v>
      </c>
      <c r="B359" s="1">
        <v>712</v>
      </c>
      <c r="C359" s="1">
        <v>1915.2608177478073</v>
      </c>
      <c r="D359">
        <f t="shared" si="31"/>
        <v>-957.63040887390366</v>
      </c>
      <c r="E359">
        <f t="shared" si="32"/>
        <v>957.63040887390366</v>
      </c>
      <c r="F359" s="7">
        <f t="shared" si="36"/>
        <v>1002808.689710004</v>
      </c>
      <c r="G359" s="2">
        <f t="shared" si="33"/>
        <v>712</v>
      </c>
      <c r="J359" s="2">
        <v>1915.2608177478073</v>
      </c>
      <c r="K359" s="2">
        <f t="shared" si="34"/>
        <v>-957.63040887390366</v>
      </c>
      <c r="L359" s="2">
        <f t="shared" si="35"/>
        <v>957.63040887390366</v>
      </c>
    </row>
    <row r="360" spans="1:12" x14ac:dyDescent="0.25">
      <c r="A360">
        <v>358</v>
      </c>
      <c r="B360" s="1">
        <v>714</v>
      </c>
      <c r="C360" s="1">
        <v>1916.4592351521594</v>
      </c>
      <c r="D360">
        <f t="shared" si="31"/>
        <v>-958.2296175760797</v>
      </c>
      <c r="E360">
        <f t="shared" si="32"/>
        <v>958.2296175760797</v>
      </c>
      <c r="F360" s="7">
        <f t="shared" si="36"/>
        <v>1006640.4097629039</v>
      </c>
      <c r="G360" s="2">
        <f t="shared" si="33"/>
        <v>714</v>
      </c>
      <c r="J360" s="2">
        <v>1916.4592351521594</v>
      </c>
      <c r="K360" s="2">
        <f t="shared" si="34"/>
        <v>-958.2296175760797</v>
      </c>
      <c r="L360" s="2">
        <f t="shared" si="35"/>
        <v>958.2296175760797</v>
      </c>
    </row>
    <row r="361" spans="1:12" x14ac:dyDescent="0.25">
      <c r="A361">
        <v>359</v>
      </c>
      <c r="B361" s="1">
        <v>716</v>
      </c>
      <c r="C361" s="1">
        <v>1917.6485600860237</v>
      </c>
      <c r="D361">
        <f t="shared" si="31"/>
        <v>-958.82428004301187</v>
      </c>
      <c r="E361">
        <f t="shared" si="32"/>
        <v>958.82428004301187</v>
      </c>
      <c r="F361" s="7">
        <f t="shared" si="36"/>
        <v>1010474.5175581421</v>
      </c>
      <c r="G361" s="2">
        <f t="shared" si="33"/>
        <v>716</v>
      </c>
      <c r="J361" s="2">
        <v>1917.6485600860237</v>
      </c>
      <c r="K361" s="2">
        <f t="shared" si="34"/>
        <v>-958.82428004301187</v>
      </c>
      <c r="L361" s="2">
        <f t="shared" si="35"/>
        <v>958.82428004301187</v>
      </c>
    </row>
    <row r="362" spans="1:12" x14ac:dyDescent="0.25">
      <c r="A362">
        <v>360</v>
      </c>
      <c r="B362" s="1">
        <v>718</v>
      </c>
      <c r="C362" s="1">
        <v>1918.828809456435</v>
      </c>
      <c r="D362">
        <f t="shared" si="31"/>
        <v>-959.41440472821751</v>
      </c>
      <c r="E362">
        <f t="shared" si="32"/>
        <v>959.41440472821751</v>
      </c>
      <c r="F362" s="7">
        <f t="shared" si="36"/>
        <v>1014310.9949276845</v>
      </c>
      <c r="G362" s="2">
        <f t="shared" si="33"/>
        <v>718</v>
      </c>
      <c r="J362" s="2">
        <v>1918.828809456435</v>
      </c>
      <c r="K362" s="2">
        <f t="shared" si="34"/>
        <v>-959.41440472821751</v>
      </c>
      <c r="L362" s="2">
        <f t="shared" si="35"/>
        <v>959.41440472821751</v>
      </c>
    </row>
    <row r="363" spans="1:12" x14ac:dyDescent="0.25">
      <c r="A363">
        <v>361</v>
      </c>
      <c r="B363" s="1">
        <v>720</v>
      </c>
      <c r="C363" s="1">
        <v>1920</v>
      </c>
      <c r="D363">
        <f t="shared" si="31"/>
        <v>-960</v>
      </c>
      <c r="E363">
        <f t="shared" si="32"/>
        <v>960</v>
      </c>
      <c r="F363" s="7">
        <f t="shared" si="36"/>
        <v>1018149.823737141</v>
      </c>
      <c r="G363" s="2">
        <f t="shared" si="33"/>
        <v>720</v>
      </c>
      <c r="J363" s="2">
        <v>1920</v>
      </c>
      <c r="K363" s="2">
        <f t="shared" si="34"/>
        <v>-960</v>
      </c>
      <c r="L363" s="2">
        <f t="shared" si="35"/>
        <v>960</v>
      </c>
    </row>
    <row r="364" spans="1:12" x14ac:dyDescent="0.25">
      <c r="A364">
        <v>362</v>
      </c>
      <c r="B364" s="1">
        <v>722</v>
      </c>
      <c r="C364" s="1">
        <v>1921.1621482842097</v>
      </c>
      <c r="D364">
        <f t="shared" si="31"/>
        <v>-960.58107414210485</v>
      </c>
      <c r="E364">
        <f t="shared" si="32"/>
        <v>960.58107414210485</v>
      </c>
      <c r="F364" s="7">
        <f t="shared" si="36"/>
        <v>1021990.9858854252</v>
      </c>
      <c r="G364" s="2">
        <f t="shared" si="33"/>
        <v>722</v>
      </c>
      <c r="J364" s="2">
        <v>1921.1621482842097</v>
      </c>
      <c r="K364" s="2">
        <f t="shared" si="34"/>
        <v>-960.58107414210485</v>
      </c>
      <c r="L364" s="2">
        <f t="shared" si="35"/>
        <v>960.58107414210485</v>
      </c>
    </row>
    <row r="365" spans="1:12" x14ac:dyDescent="0.25">
      <c r="A365">
        <v>363</v>
      </c>
      <c r="B365" s="1">
        <v>724</v>
      </c>
      <c r="C365" s="1">
        <v>1922.3152707087359</v>
      </c>
      <c r="D365">
        <f t="shared" si="31"/>
        <v>-961.15763535436793</v>
      </c>
      <c r="E365">
        <f t="shared" si="32"/>
        <v>961.15763535436793</v>
      </c>
      <c r="F365" s="7">
        <f t="shared" si="36"/>
        <v>1025834.4633044181</v>
      </c>
      <c r="G365" s="2">
        <f t="shared" si="33"/>
        <v>724</v>
      </c>
      <c r="J365" s="2">
        <v>1922.3152707087359</v>
      </c>
      <c r="K365" s="2">
        <f t="shared" si="34"/>
        <v>-961.15763535436793</v>
      </c>
      <c r="L365" s="2">
        <f t="shared" si="35"/>
        <v>961.15763535436793</v>
      </c>
    </row>
    <row r="366" spans="1:12" x14ac:dyDescent="0.25">
      <c r="A366">
        <v>364</v>
      </c>
      <c r="B366" s="1">
        <v>726</v>
      </c>
      <c r="C366" s="1">
        <v>1923.4593835067067</v>
      </c>
      <c r="D366">
        <f t="shared" si="31"/>
        <v>-961.72969175335334</v>
      </c>
      <c r="E366">
        <f t="shared" si="32"/>
        <v>961.72969175335334</v>
      </c>
      <c r="F366" s="7">
        <f t="shared" si="36"/>
        <v>1029680.2379586336</v>
      </c>
      <c r="G366" s="2">
        <f t="shared" si="33"/>
        <v>726</v>
      </c>
      <c r="J366" s="2">
        <v>1923.4593835067067</v>
      </c>
      <c r="K366" s="2">
        <f t="shared" si="34"/>
        <v>-961.72969175335334</v>
      </c>
      <c r="L366" s="2">
        <f t="shared" si="35"/>
        <v>961.72969175335334</v>
      </c>
    </row>
    <row r="367" spans="1:12" x14ac:dyDescent="0.25">
      <c r="A367">
        <v>365</v>
      </c>
      <c r="B367" s="1">
        <v>728</v>
      </c>
      <c r="C367" s="1">
        <v>1924.5945027459682</v>
      </c>
      <c r="D367">
        <f t="shared" si="31"/>
        <v>-962.29725137298408</v>
      </c>
      <c r="E367">
        <f t="shared" si="32"/>
        <v>962.29725137298408</v>
      </c>
      <c r="F367" s="7">
        <f t="shared" si="36"/>
        <v>1033528.2918448863</v>
      </c>
      <c r="G367" s="2">
        <f t="shared" si="33"/>
        <v>728</v>
      </c>
      <c r="J367" s="2">
        <v>1924.5945027459682</v>
      </c>
      <c r="K367" s="2">
        <f t="shared" si="34"/>
        <v>-962.29725137298408</v>
      </c>
      <c r="L367" s="2">
        <f t="shared" si="35"/>
        <v>962.29725137298408</v>
      </c>
    </row>
    <row r="368" spans="1:12" x14ac:dyDescent="0.25">
      <c r="A368">
        <v>366</v>
      </c>
      <c r="B368" s="1">
        <v>730</v>
      </c>
      <c r="C368" s="1">
        <v>1925.7206443303244</v>
      </c>
      <c r="D368">
        <f t="shared" si="31"/>
        <v>-962.86032216516219</v>
      </c>
      <c r="E368">
        <f t="shared" si="32"/>
        <v>962.86032216516219</v>
      </c>
      <c r="F368" s="7">
        <f t="shared" si="36"/>
        <v>1037378.6069919625</v>
      </c>
      <c r="G368" s="2">
        <f t="shared" si="33"/>
        <v>730</v>
      </c>
      <c r="J368" s="2">
        <v>1925.7206443303244</v>
      </c>
      <c r="K368" s="2">
        <f t="shared" si="34"/>
        <v>-962.86032216516219</v>
      </c>
      <c r="L368" s="2">
        <f t="shared" si="35"/>
        <v>962.86032216516219</v>
      </c>
    </row>
    <row r="369" spans="1:12" x14ac:dyDescent="0.25">
      <c r="A369">
        <v>367</v>
      </c>
      <c r="B369" s="1">
        <v>732</v>
      </c>
      <c r="C369" s="1">
        <v>1926.8378240007642</v>
      </c>
      <c r="D369">
        <f t="shared" si="31"/>
        <v>-963.41891200038208</v>
      </c>
      <c r="E369">
        <f t="shared" si="32"/>
        <v>963.41891200038208</v>
      </c>
      <c r="F369" s="7">
        <f t="shared" si="36"/>
        <v>1041231.1654602936</v>
      </c>
      <c r="G369" s="2">
        <f t="shared" si="33"/>
        <v>732</v>
      </c>
      <c r="J369" s="2">
        <v>1926.8378240007642</v>
      </c>
      <c r="K369" s="2">
        <f t="shared" si="34"/>
        <v>-963.41891200038208</v>
      </c>
      <c r="L369" s="2">
        <f t="shared" si="35"/>
        <v>963.41891200038208</v>
      </c>
    </row>
    <row r="370" spans="1:12" x14ac:dyDescent="0.25">
      <c r="A370">
        <v>368</v>
      </c>
      <c r="B370" s="1">
        <v>734</v>
      </c>
      <c r="C370" s="1">
        <v>1927.9460573366673</v>
      </c>
      <c r="D370">
        <f t="shared" si="31"/>
        <v>-963.97302866833365</v>
      </c>
      <c r="E370">
        <f t="shared" si="32"/>
        <v>963.97302866833365</v>
      </c>
      <c r="F370" s="7">
        <f t="shared" si="36"/>
        <v>1045085.949341631</v>
      </c>
      <c r="G370" s="2">
        <f t="shared" si="33"/>
        <v>734</v>
      </c>
      <c r="J370" s="2">
        <v>1927.9460573366673</v>
      </c>
      <c r="K370" s="2">
        <f t="shared" si="34"/>
        <v>-963.97302866833365</v>
      </c>
      <c r="L370" s="2">
        <f t="shared" si="35"/>
        <v>963.97302866833365</v>
      </c>
    </row>
    <row r="371" spans="1:12" x14ac:dyDescent="0.25">
      <c r="A371">
        <v>369</v>
      </c>
      <c r="B371" s="1">
        <v>736</v>
      </c>
      <c r="C371" s="1">
        <v>1929.0453597569965</v>
      </c>
      <c r="D371">
        <f t="shared" si="31"/>
        <v>-964.52267987849825</v>
      </c>
      <c r="E371">
        <f t="shared" si="32"/>
        <v>964.52267987849825</v>
      </c>
      <c r="F371" s="7">
        <f t="shared" si="36"/>
        <v>1048942.9407587247</v>
      </c>
      <c r="G371" s="2">
        <f t="shared" si="33"/>
        <v>736</v>
      </c>
      <c r="J371" s="2">
        <v>1929.0453597569965</v>
      </c>
      <c r="K371" s="2">
        <f t="shared" si="34"/>
        <v>-964.52267987849825</v>
      </c>
      <c r="L371" s="2">
        <f t="shared" si="35"/>
        <v>964.52267987849825</v>
      </c>
    </row>
    <row r="372" spans="1:12" x14ac:dyDescent="0.25">
      <c r="A372">
        <v>370</v>
      </c>
      <c r="B372" s="1">
        <v>738</v>
      </c>
      <c r="C372" s="1">
        <v>1930.1357465214719</v>
      </c>
      <c r="D372">
        <f t="shared" si="31"/>
        <v>-965.06787326073595</v>
      </c>
      <c r="E372">
        <f t="shared" si="32"/>
        <v>965.06787326073595</v>
      </c>
      <c r="F372" s="7">
        <f t="shared" si="36"/>
        <v>1052802.1218650031</v>
      </c>
      <c r="G372" s="2">
        <f t="shared" si="33"/>
        <v>738</v>
      </c>
      <c r="J372" s="2">
        <v>1930.1357465214719</v>
      </c>
      <c r="K372" s="2">
        <f t="shared" si="34"/>
        <v>-965.06787326073595</v>
      </c>
      <c r="L372" s="2">
        <f t="shared" si="35"/>
        <v>965.06787326073595</v>
      </c>
    </row>
    <row r="373" spans="1:12" x14ac:dyDescent="0.25">
      <c r="A373">
        <v>371</v>
      </c>
      <c r="B373" s="1">
        <v>740</v>
      </c>
      <c r="C373" s="1">
        <v>1931.2172327317298</v>
      </c>
      <c r="D373">
        <f t="shared" si="31"/>
        <v>-965.60861636586492</v>
      </c>
      <c r="E373">
        <f t="shared" si="32"/>
        <v>965.60861636586492</v>
      </c>
      <c r="F373" s="7">
        <f t="shared" si="36"/>
        <v>1056663.4748442564</v>
      </c>
      <c r="G373" s="2">
        <f t="shared" si="33"/>
        <v>740</v>
      </c>
      <c r="J373" s="2">
        <v>1931.2172327317298</v>
      </c>
      <c r="K373" s="2">
        <f t="shared" si="34"/>
        <v>-965.60861636586492</v>
      </c>
      <c r="L373" s="2">
        <f t="shared" si="35"/>
        <v>965.60861636586492</v>
      </c>
    </row>
    <row r="374" spans="1:12" x14ac:dyDescent="0.25">
      <c r="A374">
        <v>372</v>
      </c>
      <c r="B374" s="1">
        <v>742</v>
      </c>
      <c r="C374" s="1">
        <v>1932.2898333324636</v>
      </c>
      <c r="D374">
        <f t="shared" si="31"/>
        <v>-966.14491666623178</v>
      </c>
      <c r="E374">
        <f t="shared" si="32"/>
        <v>966.14491666623178</v>
      </c>
      <c r="F374" s="7">
        <f t="shared" si="36"/>
        <v>1060526.9819103207</v>
      </c>
      <c r="G374" s="2">
        <f t="shared" si="33"/>
        <v>742</v>
      </c>
      <c r="J374" s="2">
        <v>1932.2898333324636</v>
      </c>
      <c r="K374" s="2">
        <f t="shared" si="34"/>
        <v>-966.14491666623178</v>
      </c>
      <c r="L374" s="2">
        <f t="shared" si="35"/>
        <v>966.14491666623178</v>
      </c>
    </row>
    <row r="375" spans="1:12" x14ac:dyDescent="0.25">
      <c r="A375">
        <v>373</v>
      </c>
      <c r="B375" s="1">
        <v>744</v>
      </c>
      <c r="C375" s="1">
        <v>1933.3535631125519</v>
      </c>
      <c r="D375">
        <f t="shared" si="31"/>
        <v>-966.67678155627596</v>
      </c>
      <c r="E375">
        <f t="shared" si="32"/>
        <v>966.67678155627596</v>
      </c>
      <c r="F375" s="7">
        <f t="shared" si="36"/>
        <v>1064392.6253067658</v>
      </c>
      <c r="G375" s="2">
        <f t="shared" si="33"/>
        <v>744</v>
      </c>
      <c r="J375" s="2">
        <v>1933.3535631125519</v>
      </c>
      <c r="K375" s="2">
        <f t="shared" si="34"/>
        <v>-966.67678155627596</v>
      </c>
      <c r="L375" s="2">
        <f t="shared" si="35"/>
        <v>966.67678155627596</v>
      </c>
    </row>
    <row r="376" spans="1:12" x14ac:dyDescent="0.25">
      <c r="A376">
        <v>374</v>
      </c>
      <c r="B376" s="1">
        <v>746</v>
      </c>
      <c r="C376" s="1">
        <v>1934.4084367061678</v>
      </c>
      <c r="D376">
        <f t="shared" si="31"/>
        <v>-967.20421835308389</v>
      </c>
      <c r="E376">
        <f t="shared" si="32"/>
        <v>967.20421835308389</v>
      </c>
      <c r="F376" s="7">
        <f t="shared" si="36"/>
        <v>1068260.3873065845</v>
      </c>
      <c r="G376" s="2">
        <f t="shared" si="33"/>
        <v>746</v>
      </c>
      <c r="J376" s="2">
        <v>1934.4084367061678</v>
      </c>
      <c r="K376" s="2">
        <f t="shared" si="34"/>
        <v>-967.20421835308389</v>
      </c>
      <c r="L376" s="2">
        <f t="shared" si="35"/>
        <v>967.20421835308389</v>
      </c>
    </row>
    <row r="377" spans="1:12" x14ac:dyDescent="0.25">
      <c r="A377">
        <v>375</v>
      </c>
      <c r="B377" s="1">
        <v>748</v>
      </c>
      <c r="C377" s="1">
        <v>1935.4544685938752</v>
      </c>
      <c r="D377">
        <f t="shared" si="31"/>
        <v>-967.72723429693758</v>
      </c>
      <c r="E377">
        <f t="shared" si="32"/>
        <v>967.72723429693758</v>
      </c>
      <c r="F377" s="7">
        <f t="shared" si="36"/>
        <v>1072130.2502118845</v>
      </c>
      <c r="G377" s="2">
        <f t="shared" si="33"/>
        <v>748</v>
      </c>
      <c r="J377" s="2">
        <v>1935.4544685938752</v>
      </c>
      <c r="K377" s="2">
        <f t="shared" si="34"/>
        <v>-967.72723429693758</v>
      </c>
      <c r="L377" s="2">
        <f t="shared" si="35"/>
        <v>967.72723429693758</v>
      </c>
    </row>
    <row r="378" spans="1:12" x14ac:dyDescent="0.25">
      <c r="A378">
        <v>376</v>
      </c>
      <c r="B378" s="1">
        <v>750</v>
      </c>
      <c r="C378" s="1">
        <v>1936.4916731037085</v>
      </c>
      <c r="D378">
        <f t="shared" si="31"/>
        <v>-968.24583655185427</v>
      </c>
      <c r="E378">
        <f t="shared" si="32"/>
        <v>968.24583655185427</v>
      </c>
      <c r="F378" s="7">
        <f t="shared" si="36"/>
        <v>1076002.1963535822</v>
      </c>
      <c r="G378" s="2">
        <f t="shared" si="33"/>
        <v>750</v>
      </c>
      <c r="J378" s="2">
        <v>1936.4916731037085</v>
      </c>
      <c r="K378" s="2">
        <f t="shared" si="34"/>
        <v>-968.24583655185427</v>
      </c>
      <c r="L378" s="2">
        <f t="shared" si="35"/>
        <v>968.24583655185427</v>
      </c>
    </row>
    <row r="379" spans="1:12" x14ac:dyDescent="0.25">
      <c r="A379">
        <v>377</v>
      </c>
      <c r="B379" s="1">
        <v>752</v>
      </c>
      <c r="C379" s="1">
        <v>1937.5200644122372</v>
      </c>
      <c r="D379">
        <f t="shared" si="31"/>
        <v>-968.76003220611858</v>
      </c>
      <c r="E379">
        <f t="shared" si="32"/>
        <v>968.76003220611858</v>
      </c>
      <c r="F379" s="7">
        <f t="shared" si="36"/>
        <v>1079876.2080910981</v>
      </c>
      <c r="G379" s="2">
        <f t="shared" si="33"/>
        <v>752</v>
      </c>
      <c r="J379" s="2">
        <v>1937.5200644122372</v>
      </c>
      <c r="K379" s="2">
        <f t="shared" si="34"/>
        <v>-968.76003220611858</v>
      </c>
      <c r="L379" s="2">
        <f t="shared" si="35"/>
        <v>968.76003220611858</v>
      </c>
    </row>
    <row r="380" spans="1:12" x14ac:dyDescent="0.25">
      <c r="A380">
        <v>378</v>
      </c>
      <c r="B380" s="1">
        <v>754</v>
      </c>
      <c r="C380" s="1">
        <v>1938.5396565456174</v>
      </c>
      <c r="D380">
        <f t="shared" si="31"/>
        <v>-969.2698282728087</v>
      </c>
      <c r="E380">
        <f t="shared" si="32"/>
        <v>969.2698282728087</v>
      </c>
      <c r="F380" s="7">
        <f t="shared" si="36"/>
        <v>1083752.267812056</v>
      </c>
      <c r="G380" s="2">
        <f t="shared" si="33"/>
        <v>754</v>
      </c>
      <c r="J380" s="2">
        <v>1938.5396565456174</v>
      </c>
      <c r="K380" s="2">
        <f t="shared" si="34"/>
        <v>-969.2698282728087</v>
      </c>
      <c r="L380" s="2">
        <f t="shared" si="35"/>
        <v>969.2698282728087</v>
      </c>
    </row>
    <row r="381" spans="1:12" x14ac:dyDescent="0.25">
      <c r="A381">
        <v>379</v>
      </c>
      <c r="B381" s="1">
        <v>756</v>
      </c>
      <c r="C381" s="1">
        <v>1939.5504633806258</v>
      </c>
      <c r="D381">
        <f t="shared" si="31"/>
        <v>-969.77523169031292</v>
      </c>
      <c r="E381">
        <f t="shared" si="32"/>
        <v>969.77523169031292</v>
      </c>
      <c r="F381" s="7">
        <f t="shared" si="36"/>
        <v>1087630.3579319823</v>
      </c>
      <c r="G381" s="2">
        <f t="shared" si="33"/>
        <v>756</v>
      </c>
      <c r="J381" s="2">
        <v>1939.5504633806258</v>
      </c>
      <c r="K381" s="2">
        <f t="shared" si="34"/>
        <v>-969.77523169031292</v>
      </c>
      <c r="L381" s="2">
        <f t="shared" si="35"/>
        <v>969.77523169031292</v>
      </c>
    </row>
    <row r="382" spans="1:12" x14ac:dyDescent="0.25">
      <c r="A382">
        <v>380</v>
      </c>
      <c r="B382" s="1">
        <v>758</v>
      </c>
      <c r="C382" s="1">
        <v>1940.5524986456821</v>
      </c>
      <c r="D382">
        <f t="shared" si="31"/>
        <v>-970.27624932284107</v>
      </c>
      <c r="E382">
        <f t="shared" si="32"/>
        <v>970.27624932284107</v>
      </c>
      <c r="F382" s="7">
        <f t="shared" si="36"/>
        <v>1091510.4608940086</v>
      </c>
      <c r="G382" s="2">
        <f t="shared" si="33"/>
        <v>758</v>
      </c>
      <c r="J382" s="2">
        <v>1940.5524986456821</v>
      </c>
      <c r="K382" s="2">
        <f t="shared" si="34"/>
        <v>-970.27624932284107</v>
      </c>
      <c r="L382" s="2">
        <f t="shared" si="35"/>
        <v>970.27624932284107</v>
      </c>
    </row>
    <row r="383" spans="1:12" x14ac:dyDescent="0.25">
      <c r="A383">
        <v>381</v>
      </c>
      <c r="B383" s="1">
        <v>760</v>
      </c>
      <c r="C383" s="1">
        <v>1941.5457759218555</v>
      </c>
      <c r="D383">
        <f t="shared" si="31"/>
        <v>-970.77288796092773</v>
      </c>
      <c r="E383">
        <f t="shared" si="32"/>
        <v>970.77288796092773</v>
      </c>
      <c r="F383" s="7">
        <f t="shared" si="36"/>
        <v>1095392.5591685763</v>
      </c>
      <c r="G383" s="2">
        <f t="shared" si="33"/>
        <v>760</v>
      </c>
      <c r="J383" s="2">
        <v>1941.5457759218555</v>
      </c>
      <c r="K383" s="2">
        <f t="shared" si="34"/>
        <v>-970.77288796092773</v>
      </c>
      <c r="L383" s="2">
        <f t="shared" si="35"/>
        <v>970.77288796092773</v>
      </c>
    </row>
    <row r="384" spans="1:12" x14ac:dyDescent="0.25">
      <c r="A384">
        <v>382</v>
      </c>
      <c r="B384" s="1">
        <v>762</v>
      </c>
      <c r="C384" s="1">
        <v>1942.5303086438573</v>
      </c>
      <c r="D384">
        <f t="shared" si="31"/>
        <v>-971.26515432192866</v>
      </c>
      <c r="E384">
        <f t="shared" si="32"/>
        <v>971.26515432192866</v>
      </c>
      <c r="F384" s="7">
        <f t="shared" si="36"/>
        <v>1099276.6352531419</v>
      </c>
      <c r="G384" s="2">
        <f t="shared" si="33"/>
        <v>762</v>
      </c>
      <c r="J384" s="2">
        <v>1942.5303086438573</v>
      </c>
      <c r="K384" s="2">
        <f t="shared" si="34"/>
        <v>-971.26515432192866</v>
      </c>
      <c r="L384" s="2">
        <f t="shared" si="35"/>
        <v>971.26515432192866</v>
      </c>
    </row>
    <row r="385" spans="1:12" x14ac:dyDescent="0.25">
      <c r="A385">
        <v>383</v>
      </c>
      <c r="B385" s="1">
        <v>764</v>
      </c>
      <c r="C385" s="1">
        <v>1943.5061101010206</v>
      </c>
      <c r="D385">
        <f t="shared" si="31"/>
        <v>-971.75305505051028</v>
      </c>
      <c r="E385">
        <f t="shared" si="32"/>
        <v>971.75305505051028</v>
      </c>
      <c r="F385" s="7">
        <f t="shared" si="36"/>
        <v>1103162.6716718867</v>
      </c>
      <c r="G385" s="2">
        <f t="shared" si="33"/>
        <v>764</v>
      </c>
      <c r="J385" s="2">
        <v>1943.5061101010206</v>
      </c>
      <c r="K385" s="2">
        <f t="shared" si="34"/>
        <v>-971.75305505051028</v>
      </c>
      <c r="L385" s="2">
        <f t="shared" si="35"/>
        <v>971.75305505051028</v>
      </c>
    </row>
    <row r="386" spans="1:12" x14ac:dyDescent="0.25">
      <c r="A386">
        <v>384</v>
      </c>
      <c r="B386" s="1">
        <v>766</v>
      </c>
      <c r="C386" s="1">
        <v>1944.4731934382639</v>
      </c>
      <c r="D386">
        <f t="shared" si="31"/>
        <v>-972.23659671913197</v>
      </c>
      <c r="E386">
        <f t="shared" si="32"/>
        <v>972.23659671913197</v>
      </c>
      <c r="F386" s="7">
        <f t="shared" si="36"/>
        <v>1107050.650975426</v>
      </c>
      <c r="G386" s="2">
        <f t="shared" si="33"/>
        <v>766</v>
      </c>
      <c r="J386" s="2">
        <v>1944.4731934382639</v>
      </c>
      <c r="K386" s="2">
        <f t="shared" si="34"/>
        <v>-972.23659671913197</v>
      </c>
      <c r="L386" s="2">
        <f t="shared" si="35"/>
        <v>972.23659671913197</v>
      </c>
    </row>
    <row r="387" spans="1:12" x14ac:dyDescent="0.25">
      <c r="A387">
        <v>385</v>
      </c>
      <c r="B387" s="1">
        <v>768</v>
      </c>
      <c r="C387" s="1">
        <v>1945.431571657045</v>
      </c>
      <c r="D387">
        <f t="shared" si="31"/>
        <v>-972.71578582852248</v>
      </c>
      <c r="E387">
        <f t="shared" si="32"/>
        <v>972.71578582852248</v>
      </c>
      <c r="F387" s="7">
        <f t="shared" si="36"/>
        <v>1110940.5557405213</v>
      </c>
      <c r="G387" s="2">
        <f t="shared" si="33"/>
        <v>768</v>
      </c>
      <c r="J387" s="2">
        <v>1945.431571657045</v>
      </c>
      <c r="K387" s="2">
        <f t="shared" si="34"/>
        <v>-972.71578582852248</v>
      </c>
      <c r="L387" s="2">
        <f t="shared" si="35"/>
        <v>972.71578582852248</v>
      </c>
    </row>
    <row r="388" spans="1:12" x14ac:dyDescent="0.25">
      <c r="A388">
        <v>386</v>
      </c>
      <c r="B388" s="1">
        <v>770</v>
      </c>
      <c r="C388" s="1">
        <v>1946.3812576162975</v>
      </c>
      <c r="D388">
        <f t="shared" ref="D388:D451" si="37">IF(A388&lt;=COUNT(B:B),-1*C388/2,NA())</f>
        <v>-973.19062880814874</v>
      </c>
      <c r="E388">
        <f t="shared" ref="E388:E451" si="38">IF(A388&lt;=COUNT(B:B),C388/2,NA())</f>
        <v>973.19062880814874</v>
      </c>
      <c r="F388" s="7">
        <f t="shared" si="36"/>
        <v>1114832.3685697946</v>
      </c>
      <c r="G388" s="2">
        <f t="shared" ref="G388:G451" si="39">B388-$B$3</f>
        <v>770</v>
      </c>
      <c r="J388" s="2">
        <v>1946.3812576162975</v>
      </c>
      <c r="K388" s="2">
        <f t="shared" ref="K388:K451" si="40">IF(A388&lt;=COUNT(B:B),$J388/2*-1,NA())</f>
        <v>-973.19062880814874</v>
      </c>
      <c r="L388" s="2">
        <f t="shared" ref="L388:L451" si="41">IF(A388&lt;=COUNT(B:B),$J388/2,NA())</f>
        <v>973.19062880814874</v>
      </c>
    </row>
    <row r="389" spans="1:12" x14ac:dyDescent="0.25">
      <c r="A389">
        <v>387</v>
      </c>
      <c r="B389" s="1">
        <v>772</v>
      </c>
      <c r="C389" s="1">
        <v>1947.3222640333572</v>
      </c>
      <c r="D389">
        <f t="shared" si="37"/>
        <v>-973.66113201667861</v>
      </c>
      <c r="E389">
        <f t="shared" si="38"/>
        <v>973.66113201667861</v>
      </c>
      <c r="F389" s="7">
        <f t="shared" ref="F389:F452" si="42">IF(A388&lt;COUNT(B:B),(($C389+$C388)*(B389-B388)/2)+F388,"")</f>
        <v>1118726.0720914442</v>
      </c>
      <c r="G389" s="2">
        <f t="shared" si="39"/>
        <v>772</v>
      </c>
      <c r="J389" s="2">
        <v>1947.3222640333572</v>
      </c>
      <c r="K389" s="2">
        <f t="shared" si="40"/>
        <v>-973.66113201667861</v>
      </c>
      <c r="L389" s="2">
        <f t="shared" si="41"/>
        <v>973.66113201667861</v>
      </c>
    </row>
    <row r="390" spans="1:12" x14ac:dyDescent="0.25">
      <c r="A390">
        <v>388</v>
      </c>
      <c r="B390" s="1">
        <v>774</v>
      </c>
      <c r="C390" s="1">
        <v>1948.2546034848731</v>
      </c>
      <c r="D390">
        <f t="shared" si="37"/>
        <v>-974.12730174243654</v>
      </c>
      <c r="E390">
        <f t="shared" si="38"/>
        <v>974.12730174243654</v>
      </c>
      <c r="F390" s="7">
        <f t="shared" si="42"/>
        <v>1122621.6489589624</v>
      </c>
      <c r="G390" s="2">
        <f t="shared" si="39"/>
        <v>774</v>
      </c>
      <c r="J390" s="2">
        <v>1948.2546034848731</v>
      </c>
      <c r="K390" s="2">
        <f t="shared" si="40"/>
        <v>-974.12730174243654</v>
      </c>
      <c r="L390" s="2">
        <f t="shared" si="41"/>
        <v>974.12730174243654</v>
      </c>
    </row>
    <row r="391" spans="1:12" x14ac:dyDescent="0.25">
      <c r="A391">
        <v>389</v>
      </c>
      <c r="B391" s="1">
        <v>776</v>
      </c>
      <c r="C391" s="1">
        <v>1949.1782884077074</v>
      </c>
      <c r="D391">
        <f t="shared" si="37"/>
        <v>-974.58914420385372</v>
      </c>
      <c r="E391">
        <f t="shared" si="38"/>
        <v>974.58914420385372</v>
      </c>
      <c r="F391" s="7">
        <f t="shared" si="42"/>
        <v>1126519.0818508549</v>
      </c>
      <c r="G391" s="2">
        <f t="shared" si="39"/>
        <v>776</v>
      </c>
      <c r="J391" s="2">
        <v>1949.1782884077074</v>
      </c>
      <c r="K391" s="2">
        <f t="shared" si="40"/>
        <v>-974.58914420385372</v>
      </c>
      <c r="L391" s="2">
        <f t="shared" si="41"/>
        <v>974.58914420385372</v>
      </c>
    </row>
    <row r="392" spans="1:12" x14ac:dyDescent="0.25">
      <c r="A392">
        <v>390</v>
      </c>
      <c r="B392" s="1">
        <v>778</v>
      </c>
      <c r="C392" s="1">
        <v>1950.0933310998221</v>
      </c>
      <c r="D392">
        <f t="shared" si="37"/>
        <v>-975.04666554991104</v>
      </c>
      <c r="E392">
        <f t="shared" si="38"/>
        <v>975.04666554991104</v>
      </c>
      <c r="F392" s="7">
        <f t="shared" si="42"/>
        <v>1130418.3534703625</v>
      </c>
      <c r="G392" s="2">
        <f t="shared" si="39"/>
        <v>778</v>
      </c>
      <c r="J392" s="2">
        <v>1950.0933310998221</v>
      </c>
      <c r="K392" s="2">
        <f t="shared" si="40"/>
        <v>-975.04666554991104</v>
      </c>
      <c r="L392" s="2">
        <f t="shared" si="41"/>
        <v>975.04666554991104</v>
      </c>
    </row>
    <row r="393" spans="1:12" x14ac:dyDescent="0.25">
      <c r="A393">
        <v>391</v>
      </c>
      <c r="B393" s="1">
        <v>780</v>
      </c>
      <c r="C393" s="1">
        <v>1950.9997437211518</v>
      </c>
      <c r="D393">
        <f t="shared" si="37"/>
        <v>-975.49987186057592</v>
      </c>
      <c r="E393">
        <f t="shared" si="38"/>
        <v>975.49987186057592</v>
      </c>
      <c r="F393" s="7">
        <f t="shared" si="42"/>
        <v>1134319.4465451834</v>
      </c>
      <c r="G393" s="2">
        <f t="shared" si="39"/>
        <v>780</v>
      </c>
      <c r="J393" s="2">
        <v>1950.9997437211518</v>
      </c>
      <c r="K393" s="2">
        <f t="shared" si="40"/>
        <v>-975.49987186057592</v>
      </c>
      <c r="L393" s="2">
        <f t="shared" si="41"/>
        <v>975.49987186057592</v>
      </c>
    </row>
    <row r="394" spans="1:12" x14ac:dyDescent="0.25">
      <c r="A394">
        <v>392</v>
      </c>
      <c r="B394" s="1">
        <v>782</v>
      </c>
      <c r="C394" s="1">
        <v>1951.897538294467</v>
      </c>
      <c r="D394">
        <f t="shared" si="37"/>
        <v>-975.94876914723352</v>
      </c>
      <c r="E394">
        <f t="shared" si="38"/>
        <v>975.94876914723352</v>
      </c>
      <c r="F394" s="7">
        <f t="shared" si="42"/>
        <v>1138222.343827199</v>
      </c>
      <c r="G394" s="2">
        <f t="shared" si="39"/>
        <v>782</v>
      </c>
      <c r="J394" s="2">
        <v>1951.897538294467</v>
      </c>
      <c r="K394" s="2">
        <f t="shared" si="40"/>
        <v>-975.94876914723352</v>
      </c>
      <c r="L394" s="2">
        <f t="shared" si="41"/>
        <v>975.94876914723352</v>
      </c>
    </row>
    <row r="395" spans="1:12" x14ac:dyDescent="0.25">
      <c r="A395">
        <v>393</v>
      </c>
      <c r="B395" s="1">
        <v>784</v>
      </c>
      <c r="C395" s="1">
        <v>1952.7867267062218</v>
      </c>
      <c r="D395">
        <f t="shared" si="37"/>
        <v>-976.39336335311089</v>
      </c>
      <c r="E395">
        <f t="shared" si="38"/>
        <v>976.39336335311089</v>
      </c>
      <c r="F395" s="7">
        <f t="shared" si="42"/>
        <v>1142127.0280921997</v>
      </c>
      <c r="G395" s="2">
        <f t="shared" si="39"/>
        <v>784</v>
      </c>
      <c r="J395" s="2">
        <v>1952.7867267062218</v>
      </c>
      <c r="K395" s="2">
        <f t="shared" si="40"/>
        <v>-976.39336335311089</v>
      </c>
      <c r="L395" s="2">
        <f t="shared" si="41"/>
        <v>976.39336335311089</v>
      </c>
    </row>
    <row r="396" spans="1:12" x14ac:dyDescent="0.25">
      <c r="A396">
        <v>394</v>
      </c>
      <c r="B396" s="1">
        <v>786</v>
      </c>
      <c r="C396" s="1">
        <v>1953.667320707392</v>
      </c>
      <c r="D396">
        <f t="shared" si="37"/>
        <v>-976.83366035369602</v>
      </c>
      <c r="E396">
        <f t="shared" si="38"/>
        <v>976.83366035369602</v>
      </c>
      <c r="F396" s="7">
        <f t="shared" si="42"/>
        <v>1146033.4821396132</v>
      </c>
      <c r="G396" s="2">
        <f t="shared" si="39"/>
        <v>786</v>
      </c>
      <c r="J396" s="2">
        <v>1953.667320707392</v>
      </c>
      <c r="K396" s="2">
        <f t="shared" si="40"/>
        <v>-976.83366035369602</v>
      </c>
      <c r="L396" s="2">
        <f t="shared" si="41"/>
        <v>976.83366035369602</v>
      </c>
    </row>
    <row r="397" spans="1:12" x14ac:dyDescent="0.25">
      <c r="A397">
        <v>395</v>
      </c>
      <c r="B397" s="1">
        <v>788</v>
      </c>
      <c r="C397" s="1">
        <v>1954.5393319143004</v>
      </c>
      <c r="D397">
        <f t="shared" si="37"/>
        <v>-977.26966595715021</v>
      </c>
      <c r="E397">
        <f t="shared" si="38"/>
        <v>977.26966595715021</v>
      </c>
      <c r="F397" s="7">
        <f t="shared" si="42"/>
        <v>1149941.688792235</v>
      </c>
      <c r="G397" s="2">
        <f t="shared" si="39"/>
        <v>788</v>
      </c>
      <c r="J397" s="2">
        <v>1954.5393319143004</v>
      </c>
      <c r="K397" s="2">
        <f t="shared" si="40"/>
        <v>-977.26966595715021</v>
      </c>
      <c r="L397" s="2">
        <f t="shared" si="41"/>
        <v>977.26966595715021</v>
      </c>
    </row>
    <row r="398" spans="1:12" x14ac:dyDescent="0.25">
      <c r="A398">
        <v>396</v>
      </c>
      <c r="B398" s="1">
        <v>790</v>
      </c>
      <c r="C398" s="1">
        <v>1955.4027718094296</v>
      </c>
      <c r="D398">
        <f t="shared" si="37"/>
        <v>-977.70138590471481</v>
      </c>
      <c r="E398">
        <f t="shared" si="38"/>
        <v>977.70138590471481</v>
      </c>
      <c r="F398" s="7">
        <f t="shared" si="42"/>
        <v>1153851.6308959587</v>
      </c>
      <c r="G398" s="2">
        <f t="shared" si="39"/>
        <v>790</v>
      </c>
      <c r="J398" s="2">
        <v>1955.4027718094296</v>
      </c>
      <c r="K398" s="2">
        <f t="shared" si="40"/>
        <v>-977.70138590471481</v>
      </c>
      <c r="L398" s="2">
        <f t="shared" si="41"/>
        <v>977.70138590471481</v>
      </c>
    </row>
    <row r="399" spans="1:12" x14ac:dyDescent="0.25">
      <c r="A399">
        <v>397</v>
      </c>
      <c r="B399" s="1">
        <v>792</v>
      </c>
      <c r="C399" s="1">
        <v>1956.257651742224</v>
      </c>
      <c r="D399">
        <f t="shared" si="37"/>
        <v>-978.12882587111199</v>
      </c>
      <c r="E399">
        <f t="shared" si="38"/>
        <v>978.12882587111199</v>
      </c>
      <c r="F399" s="7">
        <f t="shared" si="42"/>
        <v>1157763.2913195104</v>
      </c>
      <c r="G399" s="2">
        <f t="shared" si="39"/>
        <v>792</v>
      </c>
      <c r="J399" s="2">
        <v>1956.257651742224</v>
      </c>
      <c r="K399" s="2">
        <f t="shared" si="40"/>
        <v>-978.12882587111199</v>
      </c>
      <c r="L399" s="2">
        <f t="shared" si="41"/>
        <v>978.12882587111199</v>
      </c>
    </row>
    <row r="400" spans="1:12" x14ac:dyDescent="0.25">
      <c r="A400">
        <v>398</v>
      </c>
      <c r="B400" s="1">
        <v>794</v>
      </c>
      <c r="C400" s="1">
        <v>1957.10398292988</v>
      </c>
      <c r="D400">
        <f t="shared" si="37"/>
        <v>-978.55199146493999</v>
      </c>
      <c r="E400">
        <f t="shared" si="38"/>
        <v>978.55199146493999</v>
      </c>
      <c r="F400" s="7">
        <f t="shared" si="42"/>
        <v>1161676.6529541826</v>
      </c>
      <c r="G400" s="2">
        <f t="shared" si="39"/>
        <v>794</v>
      </c>
      <c r="J400" s="2">
        <v>1957.10398292988</v>
      </c>
      <c r="K400" s="2">
        <f t="shared" si="40"/>
        <v>-978.55199146493999</v>
      </c>
      <c r="L400" s="2">
        <f t="shared" si="41"/>
        <v>978.55199146493999</v>
      </c>
    </row>
    <row r="401" spans="1:12" x14ac:dyDescent="0.25">
      <c r="A401">
        <v>399</v>
      </c>
      <c r="B401" s="1">
        <v>796</v>
      </c>
      <c r="C401" s="1">
        <v>1957.9417764581253</v>
      </c>
      <c r="D401">
        <f t="shared" si="37"/>
        <v>-978.97088822906267</v>
      </c>
      <c r="E401">
        <f t="shared" si="38"/>
        <v>978.97088822906267</v>
      </c>
      <c r="F401" s="7">
        <f t="shared" si="42"/>
        <v>1165591.6987135706</v>
      </c>
      <c r="G401" s="2">
        <f t="shared" si="39"/>
        <v>796</v>
      </c>
      <c r="J401" s="2">
        <v>1957.9417764581253</v>
      </c>
      <c r="K401" s="2">
        <f t="shared" si="40"/>
        <v>-978.97088822906267</v>
      </c>
      <c r="L401" s="2">
        <f t="shared" si="41"/>
        <v>978.97088822906267</v>
      </c>
    </row>
    <row r="402" spans="1:12" x14ac:dyDescent="0.25">
      <c r="A402">
        <v>400</v>
      </c>
      <c r="B402" s="1">
        <v>798</v>
      </c>
      <c r="C402" s="1">
        <v>1958.7710432819861</v>
      </c>
      <c r="D402">
        <f t="shared" si="37"/>
        <v>-979.38552164099303</v>
      </c>
      <c r="E402">
        <f t="shared" si="38"/>
        <v>979.38552164099303</v>
      </c>
      <c r="F402" s="7">
        <f t="shared" si="42"/>
        <v>1169508.4115333108</v>
      </c>
      <c r="G402" s="2">
        <f t="shared" si="39"/>
        <v>798</v>
      </c>
      <c r="J402" s="2">
        <v>1958.7710432819861</v>
      </c>
      <c r="K402" s="2">
        <f t="shared" si="40"/>
        <v>-979.38552164099303</v>
      </c>
      <c r="L402" s="2">
        <f t="shared" si="41"/>
        <v>979.38552164099303</v>
      </c>
    </row>
    <row r="403" spans="1:12" x14ac:dyDescent="0.25">
      <c r="A403">
        <v>401</v>
      </c>
      <c r="B403" s="1">
        <v>800</v>
      </c>
      <c r="C403" s="1">
        <v>1959.5917942265426</v>
      </c>
      <c r="D403">
        <f t="shared" si="37"/>
        <v>-979.79589711327128</v>
      </c>
      <c r="E403">
        <f t="shared" si="38"/>
        <v>979.79589711327128</v>
      </c>
      <c r="F403" s="7">
        <f t="shared" si="42"/>
        <v>1173426.7743708193</v>
      </c>
      <c r="G403" s="2">
        <f t="shared" si="39"/>
        <v>800</v>
      </c>
      <c r="J403" s="2">
        <v>1959.5917942265426</v>
      </c>
      <c r="K403" s="2">
        <f t="shared" si="40"/>
        <v>-979.79589711327128</v>
      </c>
      <c r="L403" s="2">
        <f t="shared" si="41"/>
        <v>979.79589711327128</v>
      </c>
    </row>
    <row r="404" spans="1:12" x14ac:dyDescent="0.25">
      <c r="A404">
        <v>402</v>
      </c>
      <c r="B404" s="1">
        <v>802</v>
      </c>
      <c r="C404" s="1">
        <v>1960.4040399876756</v>
      </c>
      <c r="D404">
        <f t="shared" si="37"/>
        <v>-980.20201999383778</v>
      </c>
      <c r="E404">
        <f t="shared" si="38"/>
        <v>980.20201999383778</v>
      </c>
      <c r="F404" s="7">
        <f t="shared" si="42"/>
        <v>1177346.7702050335</v>
      </c>
      <c r="G404" s="2">
        <f t="shared" si="39"/>
        <v>802</v>
      </c>
      <c r="J404" s="2">
        <v>1960.4040399876756</v>
      </c>
      <c r="K404" s="2">
        <f t="shared" si="40"/>
        <v>-980.20201999383778</v>
      </c>
      <c r="L404" s="2">
        <f t="shared" si="41"/>
        <v>980.20201999383778</v>
      </c>
    </row>
    <row r="405" spans="1:12" x14ac:dyDescent="0.25">
      <c r="A405">
        <v>403</v>
      </c>
      <c r="B405" s="1">
        <v>804</v>
      </c>
      <c r="C405" s="1">
        <v>1961.2077911328008</v>
      </c>
      <c r="D405">
        <f t="shared" si="37"/>
        <v>-980.60389556640041</v>
      </c>
      <c r="E405">
        <f t="shared" si="38"/>
        <v>980.60389556640041</v>
      </c>
      <c r="F405" s="7">
        <f t="shared" si="42"/>
        <v>1181268.3820361539</v>
      </c>
      <c r="G405" s="2">
        <f t="shared" si="39"/>
        <v>804</v>
      </c>
      <c r="J405" s="2">
        <v>1961.2077911328008</v>
      </c>
      <c r="K405" s="2">
        <f t="shared" si="40"/>
        <v>-980.60389556640041</v>
      </c>
      <c r="L405" s="2">
        <f t="shared" si="41"/>
        <v>980.60389556640041</v>
      </c>
    </row>
    <row r="406" spans="1:12" x14ac:dyDescent="0.25">
      <c r="A406">
        <v>404</v>
      </c>
      <c r="B406" s="1">
        <v>806</v>
      </c>
      <c r="C406" s="1">
        <v>1962.0030581015922</v>
      </c>
      <c r="D406">
        <f t="shared" si="37"/>
        <v>-981.00152905079608</v>
      </c>
      <c r="E406">
        <f t="shared" si="38"/>
        <v>981.00152905079608</v>
      </c>
      <c r="F406" s="7">
        <f t="shared" si="42"/>
        <v>1185191.5928853883</v>
      </c>
      <c r="G406" s="2">
        <f t="shared" si="39"/>
        <v>806</v>
      </c>
      <c r="J406" s="2">
        <v>1962.0030581015922</v>
      </c>
      <c r="K406" s="2">
        <f t="shared" si="40"/>
        <v>-981.00152905079608</v>
      </c>
      <c r="L406" s="2">
        <f t="shared" si="41"/>
        <v>981.00152905079608</v>
      </c>
    </row>
    <row r="407" spans="1:12" x14ac:dyDescent="0.25">
      <c r="A407">
        <v>405</v>
      </c>
      <c r="B407" s="1">
        <v>808</v>
      </c>
      <c r="C407" s="1">
        <v>1962.7898512066949</v>
      </c>
      <c r="D407">
        <f t="shared" si="37"/>
        <v>-981.39492560334747</v>
      </c>
      <c r="E407">
        <f t="shared" si="38"/>
        <v>981.39492560334747</v>
      </c>
      <c r="F407" s="7">
        <f t="shared" si="42"/>
        <v>1189116.3857946966</v>
      </c>
      <c r="G407" s="2">
        <f t="shared" si="39"/>
        <v>808</v>
      </c>
      <c r="J407" s="2">
        <v>1962.7898512066949</v>
      </c>
      <c r="K407" s="2">
        <f t="shared" si="40"/>
        <v>-981.39492560334747</v>
      </c>
      <c r="L407" s="2">
        <f t="shared" si="41"/>
        <v>981.39492560334747</v>
      </c>
    </row>
    <row r="408" spans="1:12" x14ac:dyDescent="0.25">
      <c r="A408">
        <v>406</v>
      </c>
      <c r="B408" s="1">
        <v>810</v>
      </c>
      <c r="C408" s="1">
        <v>1963.5681806344287</v>
      </c>
      <c r="D408">
        <f t="shared" si="37"/>
        <v>-981.78409031721435</v>
      </c>
      <c r="E408">
        <f t="shared" si="38"/>
        <v>981.78409031721435</v>
      </c>
      <c r="F408" s="7">
        <f t="shared" si="42"/>
        <v>1193042.7438265379</v>
      </c>
      <c r="G408" s="2">
        <f t="shared" si="39"/>
        <v>810</v>
      </c>
      <c r="J408" s="2">
        <v>1963.5681806344287</v>
      </c>
      <c r="K408" s="2">
        <f t="shared" si="40"/>
        <v>-981.78409031721435</v>
      </c>
      <c r="L408" s="2">
        <f t="shared" si="41"/>
        <v>981.78409031721435</v>
      </c>
    </row>
    <row r="409" spans="1:12" x14ac:dyDescent="0.25">
      <c r="A409">
        <v>407</v>
      </c>
      <c r="B409" s="1">
        <v>812</v>
      </c>
      <c r="C409" s="1">
        <v>1964.3380564454785</v>
      </c>
      <c r="D409">
        <f t="shared" si="37"/>
        <v>-982.16902822273926</v>
      </c>
      <c r="E409">
        <f t="shared" si="38"/>
        <v>982.16902822273926</v>
      </c>
      <c r="F409" s="7">
        <f t="shared" si="42"/>
        <v>1196970.6500636179</v>
      </c>
      <c r="G409" s="2">
        <f t="shared" si="39"/>
        <v>812</v>
      </c>
      <c r="J409" s="2">
        <v>1964.3380564454785</v>
      </c>
      <c r="K409" s="2">
        <f t="shared" si="40"/>
        <v>-982.16902822273926</v>
      </c>
      <c r="L409" s="2">
        <f t="shared" si="41"/>
        <v>982.16902822273926</v>
      </c>
    </row>
    <row r="410" spans="1:12" x14ac:dyDescent="0.25">
      <c r="A410">
        <v>408</v>
      </c>
      <c r="B410" s="1">
        <v>814</v>
      </c>
      <c r="C410" s="1">
        <v>1965.0994885755786</v>
      </c>
      <c r="D410">
        <f t="shared" si="37"/>
        <v>-982.54974428778928</v>
      </c>
      <c r="E410">
        <f t="shared" si="38"/>
        <v>982.54974428778928</v>
      </c>
      <c r="F410" s="7">
        <f t="shared" si="42"/>
        <v>1200900.0876086389</v>
      </c>
      <c r="G410" s="2">
        <f t="shared" si="39"/>
        <v>814</v>
      </c>
      <c r="J410" s="2">
        <v>1965.0994885755786</v>
      </c>
      <c r="K410" s="2">
        <f t="shared" si="40"/>
        <v>-982.54974428778928</v>
      </c>
      <c r="L410" s="2">
        <f t="shared" si="41"/>
        <v>982.54974428778928</v>
      </c>
    </row>
    <row r="411" spans="1:12" x14ac:dyDescent="0.25">
      <c r="A411">
        <v>409</v>
      </c>
      <c r="B411" s="1">
        <v>816</v>
      </c>
      <c r="C411" s="1">
        <v>1965.8524868361817</v>
      </c>
      <c r="D411">
        <f t="shared" si="37"/>
        <v>-982.92624341809085</v>
      </c>
      <c r="E411">
        <f t="shared" si="38"/>
        <v>982.92624341809085</v>
      </c>
      <c r="F411" s="7">
        <f t="shared" si="42"/>
        <v>1204831.0395840507</v>
      </c>
      <c r="G411" s="2">
        <f t="shared" si="39"/>
        <v>816</v>
      </c>
      <c r="J411" s="2">
        <v>1965.8524868361817</v>
      </c>
      <c r="K411" s="2">
        <f t="shared" si="40"/>
        <v>-982.92624341809085</v>
      </c>
      <c r="L411" s="2">
        <f t="shared" si="41"/>
        <v>982.92624341809085</v>
      </c>
    </row>
    <row r="412" spans="1:12" x14ac:dyDescent="0.25">
      <c r="A412">
        <v>410</v>
      </c>
      <c r="B412" s="1">
        <v>818</v>
      </c>
      <c r="C412" s="1">
        <v>1966.5970609151229</v>
      </c>
      <c r="D412">
        <f t="shared" si="37"/>
        <v>-983.29853045756147</v>
      </c>
      <c r="E412">
        <f t="shared" si="38"/>
        <v>983.29853045756147</v>
      </c>
      <c r="F412" s="7">
        <f t="shared" si="42"/>
        <v>1208763.489131802</v>
      </c>
      <c r="G412" s="2">
        <f t="shared" si="39"/>
        <v>818</v>
      </c>
      <c r="J412" s="2">
        <v>1966.5970609151229</v>
      </c>
      <c r="K412" s="2">
        <f t="shared" si="40"/>
        <v>-983.29853045756147</v>
      </c>
      <c r="L412" s="2">
        <f t="shared" si="41"/>
        <v>983.29853045756147</v>
      </c>
    </row>
    <row r="413" spans="1:12" x14ac:dyDescent="0.25">
      <c r="A413">
        <v>411</v>
      </c>
      <c r="B413" s="1">
        <v>820</v>
      </c>
      <c r="C413" s="1">
        <v>1967.33322037727</v>
      </c>
      <c r="D413">
        <f t="shared" si="37"/>
        <v>-983.66661018863499</v>
      </c>
      <c r="E413">
        <f t="shared" si="38"/>
        <v>983.66661018863499</v>
      </c>
      <c r="F413" s="7">
        <f t="shared" si="42"/>
        <v>1212697.4194130944</v>
      </c>
      <c r="G413" s="2">
        <f t="shared" si="39"/>
        <v>820</v>
      </c>
      <c r="J413" s="2">
        <v>1967.33322037727</v>
      </c>
      <c r="K413" s="2">
        <f t="shared" si="40"/>
        <v>-983.66661018863499</v>
      </c>
      <c r="L413" s="2">
        <f t="shared" si="41"/>
        <v>983.66661018863499</v>
      </c>
    </row>
    <row r="414" spans="1:12" x14ac:dyDescent="0.25">
      <c r="A414">
        <v>412</v>
      </c>
      <c r="B414" s="1">
        <v>822</v>
      </c>
      <c r="C414" s="1">
        <v>1968.0609746651653</v>
      </c>
      <c r="D414">
        <f t="shared" si="37"/>
        <v>-984.03048733258265</v>
      </c>
      <c r="E414">
        <f t="shared" si="38"/>
        <v>984.03048733258265</v>
      </c>
      <c r="F414" s="7">
        <f t="shared" si="42"/>
        <v>1216632.813608137</v>
      </c>
      <c r="G414" s="2">
        <f t="shared" si="39"/>
        <v>822</v>
      </c>
      <c r="J414" s="2">
        <v>1968.0609746651653</v>
      </c>
      <c r="K414" s="2">
        <f t="shared" si="40"/>
        <v>-984.03048733258265</v>
      </c>
      <c r="L414" s="2">
        <f t="shared" si="41"/>
        <v>984.03048733258265</v>
      </c>
    </row>
    <row r="415" spans="1:12" x14ac:dyDescent="0.25">
      <c r="A415">
        <v>413</v>
      </c>
      <c r="B415" s="1">
        <v>824</v>
      </c>
      <c r="C415" s="1">
        <v>1968.7803330996578</v>
      </c>
      <c r="D415">
        <f t="shared" si="37"/>
        <v>-984.3901665498289</v>
      </c>
      <c r="E415">
        <f t="shared" si="38"/>
        <v>984.3901665498289</v>
      </c>
      <c r="F415" s="7">
        <f t="shared" si="42"/>
        <v>1220569.6549159018</v>
      </c>
      <c r="G415" s="2">
        <f t="shared" si="39"/>
        <v>824</v>
      </c>
      <c r="J415" s="2">
        <v>1968.7803330996578</v>
      </c>
      <c r="K415" s="2">
        <f t="shared" si="40"/>
        <v>-984.3901665498289</v>
      </c>
      <c r="L415" s="2">
        <f t="shared" si="41"/>
        <v>984.3901665498289</v>
      </c>
    </row>
    <row r="416" spans="1:12" x14ac:dyDescent="0.25">
      <c r="A416">
        <v>414</v>
      </c>
      <c r="B416" s="1">
        <v>826</v>
      </c>
      <c r="C416" s="1">
        <v>1969.4913048805267</v>
      </c>
      <c r="D416">
        <f t="shared" si="37"/>
        <v>-984.74565244026337</v>
      </c>
      <c r="E416">
        <f t="shared" si="38"/>
        <v>984.74565244026337</v>
      </c>
      <c r="F416" s="7">
        <f t="shared" si="42"/>
        <v>1224507.926553882</v>
      </c>
      <c r="G416" s="2">
        <f t="shared" si="39"/>
        <v>826</v>
      </c>
      <c r="J416" s="2">
        <v>1969.4913048805267</v>
      </c>
      <c r="K416" s="2">
        <f t="shared" si="40"/>
        <v>-984.74565244026337</v>
      </c>
      <c r="L416" s="2">
        <f t="shared" si="41"/>
        <v>984.74565244026337</v>
      </c>
    </row>
    <row r="417" spans="1:12" x14ac:dyDescent="0.25">
      <c r="A417">
        <v>415</v>
      </c>
      <c r="B417" s="1">
        <v>828</v>
      </c>
      <c r="C417" s="1">
        <v>1970.1938990870924</v>
      </c>
      <c r="D417">
        <f t="shared" si="37"/>
        <v>-985.0969495435462</v>
      </c>
      <c r="E417">
        <f t="shared" si="38"/>
        <v>985.0969495435462</v>
      </c>
      <c r="F417" s="7">
        <f t="shared" si="42"/>
        <v>1228447.6117578496</v>
      </c>
      <c r="G417" s="2">
        <f t="shared" si="39"/>
        <v>828</v>
      </c>
      <c r="J417" s="2">
        <v>1970.1938990870924</v>
      </c>
      <c r="K417" s="2">
        <f t="shared" si="40"/>
        <v>-985.0969495435462</v>
      </c>
      <c r="L417" s="2">
        <f t="shared" si="41"/>
        <v>985.0969495435462</v>
      </c>
    </row>
    <row r="418" spans="1:12" x14ac:dyDescent="0.25">
      <c r="A418">
        <v>416</v>
      </c>
      <c r="B418" s="1">
        <v>830</v>
      </c>
      <c r="C418" s="1">
        <v>1970.888124678821</v>
      </c>
      <c r="D418">
        <f t="shared" si="37"/>
        <v>-985.44406233941049</v>
      </c>
      <c r="E418">
        <f t="shared" si="38"/>
        <v>985.44406233941049</v>
      </c>
      <c r="F418" s="7">
        <f t="shared" si="42"/>
        <v>1232388.6937816155</v>
      </c>
      <c r="G418" s="2">
        <f t="shared" si="39"/>
        <v>830</v>
      </c>
      <c r="J418" s="2">
        <v>1970.888124678821</v>
      </c>
      <c r="K418" s="2">
        <f t="shared" si="40"/>
        <v>-985.44406233941049</v>
      </c>
      <c r="L418" s="2">
        <f t="shared" si="41"/>
        <v>985.44406233941049</v>
      </c>
    </row>
    <row r="419" spans="1:12" x14ac:dyDescent="0.25">
      <c r="A419">
        <v>417</v>
      </c>
      <c r="B419" s="1">
        <v>832</v>
      </c>
      <c r="C419" s="1">
        <v>1971.5739904959185</v>
      </c>
      <c r="D419">
        <f t="shared" si="37"/>
        <v>-985.78699524795923</v>
      </c>
      <c r="E419">
        <f t="shared" si="38"/>
        <v>985.78699524795923</v>
      </c>
      <c r="F419" s="7">
        <f t="shared" si="42"/>
        <v>1236331.1558967901</v>
      </c>
      <c r="G419" s="2">
        <f t="shared" si="39"/>
        <v>832</v>
      </c>
      <c r="J419" s="2">
        <v>1971.5739904959185</v>
      </c>
      <c r="K419" s="2">
        <f t="shared" si="40"/>
        <v>-985.78699524795923</v>
      </c>
      <c r="L419" s="2">
        <f t="shared" si="41"/>
        <v>985.78699524795923</v>
      </c>
    </row>
    <row r="420" spans="1:12" x14ac:dyDescent="0.25">
      <c r="A420">
        <v>418</v>
      </c>
      <c r="B420" s="1">
        <v>834</v>
      </c>
      <c r="C420" s="1">
        <v>1972.2515052599149</v>
      </c>
      <c r="D420">
        <f t="shared" si="37"/>
        <v>-986.12575262995745</v>
      </c>
      <c r="E420">
        <f t="shared" si="38"/>
        <v>986.12575262995745</v>
      </c>
      <c r="F420" s="7">
        <f t="shared" si="42"/>
        <v>1240274.9813925459</v>
      </c>
      <c r="G420" s="2">
        <f t="shared" si="39"/>
        <v>834</v>
      </c>
      <c r="J420" s="2">
        <v>1972.2515052599149</v>
      </c>
      <c r="K420" s="2">
        <f t="shared" si="40"/>
        <v>-986.12575262995745</v>
      </c>
      <c r="L420" s="2">
        <f t="shared" si="41"/>
        <v>986.12575262995745</v>
      </c>
    </row>
    <row r="421" spans="1:12" x14ac:dyDescent="0.25">
      <c r="A421">
        <v>419</v>
      </c>
      <c r="B421" s="1">
        <v>836</v>
      </c>
      <c r="C421" s="1">
        <v>1972.9206775742405</v>
      </c>
      <c r="D421">
        <f t="shared" si="37"/>
        <v>-986.46033878712024</v>
      </c>
      <c r="E421">
        <f t="shared" si="38"/>
        <v>986.46033878712024</v>
      </c>
      <c r="F421" s="7">
        <f t="shared" si="42"/>
        <v>1244220.1535753801</v>
      </c>
      <c r="G421" s="2">
        <f t="shared" si="39"/>
        <v>836</v>
      </c>
      <c r="J421" s="2">
        <v>1972.9206775742405</v>
      </c>
      <c r="K421" s="2">
        <f t="shared" si="40"/>
        <v>-986.46033878712024</v>
      </c>
      <c r="L421" s="2">
        <f t="shared" si="41"/>
        <v>986.46033878712024</v>
      </c>
    </row>
    <row r="422" spans="1:12" x14ac:dyDescent="0.25">
      <c r="A422">
        <v>420</v>
      </c>
      <c r="B422" s="1">
        <v>838</v>
      </c>
      <c r="C422" s="1">
        <v>1973.581515924792</v>
      </c>
      <c r="D422">
        <f t="shared" si="37"/>
        <v>-986.79075796239601</v>
      </c>
      <c r="E422">
        <f t="shared" si="38"/>
        <v>986.79075796239601</v>
      </c>
      <c r="F422" s="7">
        <f t="shared" si="42"/>
        <v>1248166.6557688792</v>
      </c>
      <c r="G422" s="2">
        <f t="shared" si="39"/>
        <v>838</v>
      </c>
      <c r="J422" s="2">
        <v>1973.581515924792</v>
      </c>
      <c r="K422" s="2">
        <f t="shared" si="40"/>
        <v>-986.79075796239601</v>
      </c>
      <c r="L422" s="2">
        <f t="shared" si="41"/>
        <v>986.79075796239601</v>
      </c>
    </row>
    <row r="423" spans="1:12" x14ac:dyDescent="0.25">
      <c r="A423">
        <v>421</v>
      </c>
      <c r="B423" s="1">
        <v>840</v>
      </c>
      <c r="C423" s="1">
        <v>1974.2340286804906</v>
      </c>
      <c r="D423">
        <f t="shared" si="37"/>
        <v>-987.1170143402453</v>
      </c>
      <c r="E423">
        <f t="shared" si="38"/>
        <v>987.1170143402453</v>
      </c>
      <c r="F423" s="7">
        <f t="shared" si="42"/>
        <v>1252114.4713134845</v>
      </c>
      <c r="G423" s="2">
        <f t="shared" si="39"/>
        <v>840</v>
      </c>
      <c r="J423" s="2">
        <v>1974.2340286804906</v>
      </c>
      <c r="K423" s="2">
        <f t="shared" si="40"/>
        <v>-987.1170143402453</v>
      </c>
      <c r="L423" s="2">
        <f t="shared" si="41"/>
        <v>987.1170143402453</v>
      </c>
    </row>
    <row r="424" spans="1:12" x14ac:dyDescent="0.25">
      <c r="A424">
        <v>422</v>
      </c>
      <c r="B424" s="1">
        <v>842</v>
      </c>
      <c r="C424" s="1">
        <v>1974.8782240938301</v>
      </c>
      <c r="D424">
        <f t="shared" si="37"/>
        <v>-987.43911204691506</v>
      </c>
      <c r="E424">
        <f t="shared" si="38"/>
        <v>987.43911204691506</v>
      </c>
      <c r="F424" s="7">
        <f t="shared" si="42"/>
        <v>1256063.5835662589</v>
      </c>
      <c r="G424" s="2">
        <f t="shared" si="39"/>
        <v>842</v>
      </c>
      <c r="J424" s="2">
        <v>1974.8782240938301</v>
      </c>
      <c r="K424" s="2">
        <f t="shared" si="40"/>
        <v>-987.43911204691506</v>
      </c>
      <c r="L424" s="2">
        <f t="shared" si="41"/>
        <v>987.43911204691506</v>
      </c>
    </row>
    <row r="425" spans="1:12" x14ac:dyDescent="0.25">
      <c r="A425">
        <v>423</v>
      </c>
      <c r="B425" s="1">
        <v>844</v>
      </c>
      <c r="C425" s="1">
        <v>1975.5141103014173</v>
      </c>
      <c r="D425">
        <f t="shared" si="37"/>
        <v>-987.75705515070865</v>
      </c>
      <c r="E425">
        <f t="shared" si="38"/>
        <v>987.75705515070865</v>
      </c>
      <c r="F425" s="7">
        <f t="shared" si="42"/>
        <v>1260013.9759006542</v>
      </c>
      <c r="G425" s="2">
        <f t="shared" si="39"/>
        <v>844</v>
      </c>
      <c r="J425" s="2">
        <v>1975.5141103014173</v>
      </c>
      <c r="K425" s="2">
        <f t="shared" si="40"/>
        <v>-987.75705515070865</v>
      </c>
      <c r="L425" s="2">
        <f t="shared" si="41"/>
        <v>987.75705515070865</v>
      </c>
    </row>
    <row r="426" spans="1:12" x14ac:dyDescent="0.25">
      <c r="A426">
        <v>424</v>
      </c>
      <c r="B426" s="1">
        <v>846</v>
      </c>
      <c r="C426" s="1">
        <v>1976.1416953245027</v>
      </c>
      <c r="D426">
        <f t="shared" si="37"/>
        <v>-988.07084766225137</v>
      </c>
      <c r="E426">
        <f t="shared" si="38"/>
        <v>988.07084766225137</v>
      </c>
      <c r="F426" s="7">
        <f t="shared" si="42"/>
        <v>1263965.6317062802</v>
      </c>
      <c r="G426" s="2">
        <f t="shared" si="39"/>
        <v>846</v>
      </c>
      <c r="J426" s="2">
        <v>1976.1416953245027</v>
      </c>
      <c r="K426" s="2">
        <f t="shared" si="40"/>
        <v>-988.07084766225137</v>
      </c>
      <c r="L426" s="2">
        <f t="shared" si="41"/>
        <v>988.07084766225137</v>
      </c>
    </row>
    <row r="427" spans="1:12" x14ac:dyDescent="0.25">
      <c r="A427">
        <v>425</v>
      </c>
      <c r="B427" s="1">
        <v>848</v>
      </c>
      <c r="C427" s="1">
        <v>1976.7609870695042</v>
      </c>
      <c r="D427">
        <f t="shared" si="37"/>
        <v>-988.38049353475208</v>
      </c>
      <c r="E427">
        <f t="shared" si="38"/>
        <v>988.38049353475208</v>
      </c>
      <c r="F427" s="7">
        <f t="shared" si="42"/>
        <v>1267918.5343886742</v>
      </c>
      <c r="G427" s="2">
        <f t="shared" si="39"/>
        <v>848</v>
      </c>
      <c r="J427" s="2">
        <v>1976.7609870695042</v>
      </c>
      <c r="K427" s="2">
        <f t="shared" si="40"/>
        <v>-988.38049353475208</v>
      </c>
      <c r="L427" s="2">
        <f t="shared" si="41"/>
        <v>988.38049353475208</v>
      </c>
    </row>
    <row r="428" spans="1:12" x14ac:dyDescent="0.25">
      <c r="A428">
        <v>426</v>
      </c>
      <c r="B428" s="1">
        <v>850</v>
      </c>
      <c r="C428" s="1">
        <v>1977.3719933285188</v>
      </c>
      <c r="D428">
        <f t="shared" si="37"/>
        <v>-988.68599666425939</v>
      </c>
      <c r="E428">
        <f t="shared" si="38"/>
        <v>988.68599666425939</v>
      </c>
      <c r="F428" s="7">
        <f t="shared" si="42"/>
        <v>1271872.6673690723</v>
      </c>
      <c r="G428" s="2">
        <f t="shared" si="39"/>
        <v>850</v>
      </c>
      <c r="J428" s="2">
        <v>1977.3719933285188</v>
      </c>
      <c r="K428" s="2">
        <f t="shared" si="40"/>
        <v>-988.68599666425939</v>
      </c>
      <c r="L428" s="2">
        <f t="shared" si="41"/>
        <v>988.68599666425939</v>
      </c>
    </row>
    <row r="429" spans="1:12" x14ac:dyDescent="0.25">
      <c r="A429">
        <v>427</v>
      </c>
      <c r="B429" s="1">
        <v>852</v>
      </c>
      <c r="C429" s="1">
        <v>1977.974721779831</v>
      </c>
      <c r="D429">
        <f t="shared" si="37"/>
        <v>-988.98736088991552</v>
      </c>
      <c r="E429">
        <f t="shared" si="38"/>
        <v>988.98736088991552</v>
      </c>
      <c r="F429" s="7">
        <f t="shared" si="42"/>
        <v>1275828.0140841806</v>
      </c>
      <c r="G429" s="2">
        <f t="shared" si="39"/>
        <v>852</v>
      </c>
      <c r="J429" s="2">
        <v>1977.974721779831</v>
      </c>
      <c r="K429" s="2">
        <f t="shared" si="40"/>
        <v>-988.98736088991552</v>
      </c>
      <c r="L429" s="2">
        <f t="shared" si="41"/>
        <v>988.98736088991552</v>
      </c>
    </row>
    <row r="430" spans="1:12" x14ac:dyDescent="0.25">
      <c r="A430">
        <v>428</v>
      </c>
      <c r="B430" s="1">
        <v>854</v>
      </c>
      <c r="C430" s="1">
        <v>1978.5691799884078</v>
      </c>
      <c r="D430">
        <f t="shared" si="37"/>
        <v>-989.28458999420388</v>
      </c>
      <c r="E430">
        <f t="shared" si="38"/>
        <v>989.28458999420388</v>
      </c>
      <c r="F430" s="7">
        <f t="shared" si="42"/>
        <v>1279784.5579859489</v>
      </c>
      <c r="G430" s="2">
        <f t="shared" si="39"/>
        <v>854</v>
      </c>
      <c r="J430" s="2">
        <v>1978.5691799884078</v>
      </c>
      <c r="K430" s="2">
        <f t="shared" si="40"/>
        <v>-989.28458999420388</v>
      </c>
      <c r="L430" s="2">
        <f t="shared" si="41"/>
        <v>989.28458999420388</v>
      </c>
    </row>
    <row r="431" spans="1:12" x14ac:dyDescent="0.25">
      <c r="A431">
        <v>429</v>
      </c>
      <c r="B431" s="1">
        <v>856</v>
      </c>
      <c r="C431" s="1">
        <v>1979.1553754063877</v>
      </c>
      <c r="D431">
        <f t="shared" si="37"/>
        <v>-989.57768770319387</v>
      </c>
      <c r="E431">
        <f t="shared" si="38"/>
        <v>989.57768770319387</v>
      </c>
      <c r="F431" s="7">
        <f t="shared" si="42"/>
        <v>1283742.2825413437</v>
      </c>
      <c r="G431" s="2">
        <f t="shared" si="39"/>
        <v>856</v>
      </c>
      <c r="J431" s="2">
        <v>1979.1553754063877</v>
      </c>
      <c r="K431" s="2">
        <f t="shared" si="40"/>
        <v>-989.57768770319387</v>
      </c>
      <c r="L431" s="2">
        <f t="shared" si="41"/>
        <v>989.57768770319387</v>
      </c>
    </row>
    <row r="432" spans="1:12" x14ac:dyDescent="0.25">
      <c r="A432">
        <v>430</v>
      </c>
      <c r="B432" s="1">
        <v>858</v>
      </c>
      <c r="C432" s="1">
        <v>1979.7333153735631</v>
      </c>
      <c r="D432">
        <f t="shared" si="37"/>
        <v>-989.86665768678154</v>
      </c>
      <c r="E432">
        <f t="shared" si="38"/>
        <v>989.86665768678154</v>
      </c>
      <c r="F432" s="7">
        <f t="shared" si="42"/>
        <v>1287701.1712321236</v>
      </c>
      <c r="G432" s="2">
        <f t="shared" si="39"/>
        <v>858</v>
      </c>
      <c r="J432" s="2">
        <v>1979.7333153735631</v>
      </c>
      <c r="K432" s="2">
        <f t="shared" si="40"/>
        <v>-989.86665768678154</v>
      </c>
      <c r="L432" s="2">
        <f t="shared" si="41"/>
        <v>989.86665768678154</v>
      </c>
    </row>
    <row r="433" spans="1:12" x14ac:dyDescent="0.25">
      <c r="A433">
        <v>431</v>
      </c>
      <c r="B433" s="1">
        <v>860</v>
      </c>
      <c r="C433" s="1">
        <v>1980.30300711785</v>
      </c>
      <c r="D433">
        <f t="shared" si="37"/>
        <v>-990.15150355892501</v>
      </c>
      <c r="E433">
        <f t="shared" si="38"/>
        <v>990.15150355892501</v>
      </c>
      <c r="F433" s="7">
        <f t="shared" si="42"/>
        <v>1291661.2075546151</v>
      </c>
      <c r="G433" s="2">
        <f t="shared" si="39"/>
        <v>860</v>
      </c>
      <c r="J433" s="2">
        <v>1980.30300711785</v>
      </c>
      <c r="K433" s="2">
        <f t="shared" si="40"/>
        <v>-990.15150355892501</v>
      </c>
      <c r="L433" s="2">
        <f t="shared" si="41"/>
        <v>990.15150355892501</v>
      </c>
    </row>
    <row r="434" spans="1:12" x14ac:dyDescent="0.25">
      <c r="A434">
        <v>432</v>
      </c>
      <c r="B434" s="1">
        <v>862</v>
      </c>
      <c r="C434" s="1">
        <v>1980.8644577557548</v>
      </c>
      <c r="D434">
        <f t="shared" si="37"/>
        <v>-990.43222887787738</v>
      </c>
      <c r="E434">
        <f t="shared" si="38"/>
        <v>990.43222887787738</v>
      </c>
      <c r="F434" s="7">
        <f t="shared" si="42"/>
        <v>1295622.3750194886</v>
      </c>
      <c r="G434" s="2">
        <f t="shared" si="39"/>
        <v>862</v>
      </c>
      <c r="J434" s="2">
        <v>1980.8644577557548</v>
      </c>
      <c r="K434" s="2">
        <f t="shared" si="40"/>
        <v>-990.43222887787738</v>
      </c>
      <c r="L434" s="2">
        <f t="shared" si="41"/>
        <v>990.43222887787738</v>
      </c>
    </row>
    <row r="435" spans="1:12" x14ac:dyDescent="0.25">
      <c r="A435">
        <v>433</v>
      </c>
      <c r="B435" s="1">
        <v>864</v>
      </c>
      <c r="C435" s="1">
        <v>1981.4176742928282</v>
      </c>
      <c r="D435">
        <f t="shared" si="37"/>
        <v>-990.70883714641411</v>
      </c>
      <c r="E435">
        <f t="shared" si="38"/>
        <v>990.70883714641411</v>
      </c>
      <c r="F435" s="7">
        <f t="shared" si="42"/>
        <v>1299584.6571515372</v>
      </c>
      <c r="G435" s="2">
        <f t="shared" si="39"/>
        <v>864</v>
      </c>
      <c r="J435" s="2">
        <v>1981.4176742928282</v>
      </c>
      <c r="K435" s="2">
        <f t="shared" si="40"/>
        <v>-990.70883714641411</v>
      </c>
      <c r="L435" s="2">
        <f t="shared" si="41"/>
        <v>990.70883714641411</v>
      </c>
    </row>
    <row r="436" spans="1:12" x14ac:dyDescent="0.25">
      <c r="A436">
        <v>434</v>
      </c>
      <c r="B436" s="1">
        <v>866</v>
      </c>
      <c r="C436" s="1">
        <v>1981.9626636241157</v>
      </c>
      <c r="D436">
        <f t="shared" si="37"/>
        <v>-990.98133181205787</v>
      </c>
      <c r="E436">
        <f t="shared" si="38"/>
        <v>990.98133181205787</v>
      </c>
      <c r="F436" s="7">
        <f t="shared" si="42"/>
        <v>1303548.0374894543</v>
      </c>
      <c r="G436" s="2">
        <f t="shared" si="39"/>
        <v>866</v>
      </c>
      <c r="J436" s="2">
        <v>1981.9626636241157</v>
      </c>
      <c r="K436" s="2">
        <f t="shared" si="40"/>
        <v>-990.98133181205787</v>
      </c>
      <c r="L436" s="2">
        <f t="shared" si="41"/>
        <v>990.98133181205787</v>
      </c>
    </row>
    <row r="437" spans="1:12" x14ac:dyDescent="0.25">
      <c r="A437">
        <v>435</v>
      </c>
      <c r="B437" s="1">
        <v>868</v>
      </c>
      <c r="C437" s="1">
        <v>1982.4994325345972</v>
      </c>
      <c r="D437">
        <f t="shared" si="37"/>
        <v>-991.2497162672986</v>
      </c>
      <c r="E437">
        <f t="shared" si="38"/>
        <v>991.2497162672986</v>
      </c>
      <c r="F437" s="7">
        <f t="shared" si="42"/>
        <v>1307512.4995856129</v>
      </c>
      <c r="G437" s="2">
        <f t="shared" si="39"/>
        <v>868</v>
      </c>
      <c r="J437" s="2">
        <v>1982.4994325345972</v>
      </c>
      <c r="K437" s="2">
        <f t="shared" si="40"/>
        <v>-991.2497162672986</v>
      </c>
      <c r="L437" s="2">
        <f t="shared" si="41"/>
        <v>991.2497162672986</v>
      </c>
    </row>
    <row r="438" spans="1:12" x14ac:dyDescent="0.25">
      <c r="A438">
        <v>436</v>
      </c>
      <c r="B438" s="1">
        <v>870</v>
      </c>
      <c r="C438" s="1">
        <v>1983.027987699619</v>
      </c>
      <c r="D438">
        <f t="shared" si="37"/>
        <v>-991.51399384980948</v>
      </c>
      <c r="E438">
        <f t="shared" si="38"/>
        <v>991.51399384980948</v>
      </c>
      <c r="F438" s="7">
        <f t="shared" si="42"/>
        <v>1311478.0270058471</v>
      </c>
      <c r="G438" s="2">
        <f t="shared" si="39"/>
        <v>870</v>
      </c>
      <c r="J438" s="2">
        <v>1983.027987699619</v>
      </c>
      <c r="K438" s="2">
        <f t="shared" si="40"/>
        <v>-991.51399384980948</v>
      </c>
      <c r="L438" s="2">
        <f t="shared" si="41"/>
        <v>991.51399384980948</v>
      </c>
    </row>
    <row r="439" spans="1:12" x14ac:dyDescent="0.25">
      <c r="A439">
        <v>437</v>
      </c>
      <c r="B439" s="1">
        <v>872</v>
      </c>
      <c r="C439" s="1">
        <v>1983.5483356853192</v>
      </c>
      <c r="D439">
        <f t="shared" si="37"/>
        <v>-991.77416784265961</v>
      </c>
      <c r="E439">
        <f t="shared" si="38"/>
        <v>991.77416784265961</v>
      </c>
      <c r="F439" s="7">
        <f t="shared" si="42"/>
        <v>1315444.603329232</v>
      </c>
      <c r="G439" s="2">
        <f t="shared" si="39"/>
        <v>872</v>
      </c>
      <c r="J439" s="2">
        <v>1983.5483356853192</v>
      </c>
      <c r="K439" s="2">
        <f t="shared" si="40"/>
        <v>-991.77416784265961</v>
      </c>
      <c r="L439" s="2">
        <f t="shared" si="41"/>
        <v>991.77416784265961</v>
      </c>
    </row>
    <row r="440" spans="1:12" x14ac:dyDescent="0.25">
      <c r="A440">
        <v>438</v>
      </c>
      <c r="B440" s="1">
        <v>874</v>
      </c>
      <c r="C440" s="1">
        <v>1984.0604829490455</v>
      </c>
      <c r="D440">
        <f t="shared" si="37"/>
        <v>-992.03024147452277</v>
      </c>
      <c r="E440">
        <f t="shared" si="38"/>
        <v>992.03024147452277</v>
      </c>
      <c r="F440" s="7">
        <f t="shared" si="42"/>
        <v>1319412.2121478664</v>
      </c>
      <c r="G440" s="2">
        <f t="shared" si="39"/>
        <v>874</v>
      </c>
      <c r="J440" s="2">
        <v>1984.0604829490455</v>
      </c>
      <c r="K440" s="2">
        <f t="shared" si="40"/>
        <v>-992.03024147452277</v>
      </c>
      <c r="L440" s="2">
        <f t="shared" si="41"/>
        <v>992.03024147452277</v>
      </c>
    </row>
    <row r="441" spans="1:12" x14ac:dyDescent="0.25">
      <c r="A441">
        <v>439</v>
      </c>
      <c r="B441" s="1">
        <v>876</v>
      </c>
      <c r="C441" s="1">
        <v>1984.5644358397637</v>
      </c>
      <c r="D441">
        <f t="shared" si="37"/>
        <v>-992.28221791988187</v>
      </c>
      <c r="E441">
        <f t="shared" si="38"/>
        <v>992.28221791988187</v>
      </c>
      <c r="F441" s="7">
        <f t="shared" si="42"/>
        <v>1323380.8370666553</v>
      </c>
      <c r="G441" s="2">
        <f t="shared" si="39"/>
        <v>876</v>
      </c>
      <c r="J441" s="2">
        <v>1984.5644358397637</v>
      </c>
      <c r="K441" s="2">
        <f t="shared" si="40"/>
        <v>-992.28221791988187</v>
      </c>
      <c r="L441" s="2">
        <f t="shared" si="41"/>
        <v>992.28221791988187</v>
      </c>
    </row>
    <row r="442" spans="1:12" x14ac:dyDescent="0.25">
      <c r="A442">
        <v>440</v>
      </c>
      <c r="B442" s="1">
        <v>878</v>
      </c>
      <c r="C442" s="1">
        <v>1985.0602005984604</v>
      </c>
      <c r="D442">
        <f t="shared" si="37"/>
        <v>-992.53010029923018</v>
      </c>
      <c r="E442">
        <f t="shared" si="38"/>
        <v>992.53010029923018</v>
      </c>
      <c r="F442" s="7">
        <f t="shared" si="42"/>
        <v>1327350.4617030935</v>
      </c>
      <c r="G442" s="2">
        <f t="shared" si="39"/>
        <v>878</v>
      </c>
      <c r="J442" s="2">
        <v>1985.0602005984604</v>
      </c>
      <c r="K442" s="2">
        <f t="shared" si="40"/>
        <v>-992.53010029923018</v>
      </c>
      <c r="L442" s="2">
        <f t="shared" si="41"/>
        <v>992.53010029923018</v>
      </c>
    </row>
    <row r="443" spans="1:12" x14ac:dyDescent="0.25">
      <c r="A443">
        <v>441</v>
      </c>
      <c r="B443" s="1">
        <v>880</v>
      </c>
      <c r="C443" s="1">
        <v>1985.5477833585371</v>
      </c>
      <c r="D443">
        <f t="shared" si="37"/>
        <v>-992.77389167926856</v>
      </c>
      <c r="E443">
        <f t="shared" si="38"/>
        <v>992.77389167926856</v>
      </c>
      <c r="F443" s="7">
        <f t="shared" si="42"/>
        <v>1331321.0696870505</v>
      </c>
      <c r="G443" s="2">
        <f t="shared" si="39"/>
        <v>880</v>
      </c>
      <c r="J443" s="2">
        <v>1985.5477833585371</v>
      </c>
      <c r="K443" s="2">
        <f t="shared" si="40"/>
        <v>-992.77389167926856</v>
      </c>
      <c r="L443" s="2">
        <f t="shared" si="41"/>
        <v>992.77389167926856</v>
      </c>
    </row>
    <row r="444" spans="1:12" x14ac:dyDescent="0.25">
      <c r="A444">
        <v>442</v>
      </c>
      <c r="B444" s="1">
        <v>882</v>
      </c>
      <c r="C444" s="1">
        <v>1986.0271901461974</v>
      </c>
      <c r="D444">
        <f t="shared" si="37"/>
        <v>-993.01359507309871</v>
      </c>
      <c r="E444">
        <f t="shared" si="38"/>
        <v>993.01359507309871</v>
      </c>
      <c r="F444" s="7">
        <f t="shared" si="42"/>
        <v>1335292.6446605553</v>
      </c>
      <c r="G444" s="2">
        <f t="shared" si="39"/>
        <v>882</v>
      </c>
      <c r="J444" s="2">
        <v>1986.0271901461974</v>
      </c>
      <c r="K444" s="2">
        <f t="shared" si="40"/>
        <v>-993.01359507309871</v>
      </c>
      <c r="L444" s="2">
        <f t="shared" si="41"/>
        <v>993.01359507309871</v>
      </c>
    </row>
    <row r="445" spans="1:12" x14ac:dyDescent="0.25">
      <c r="A445">
        <v>443</v>
      </c>
      <c r="B445" s="1">
        <v>884</v>
      </c>
      <c r="C445" s="1">
        <v>1986.4984268808269</v>
      </c>
      <c r="D445">
        <f t="shared" si="37"/>
        <v>-993.24921344041343</v>
      </c>
      <c r="E445">
        <f t="shared" si="38"/>
        <v>993.24921344041343</v>
      </c>
      <c r="F445" s="7">
        <f t="shared" si="42"/>
        <v>1339265.1702775822</v>
      </c>
      <c r="G445" s="2">
        <f t="shared" si="39"/>
        <v>884</v>
      </c>
      <c r="J445" s="2">
        <v>1986.4984268808269</v>
      </c>
      <c r="K445" s="2">
        <f t="shared" si="40"/>
        <v>-993.24921344041343</v>
      </c>
      <c r="L445" s="2">
        <f t="shared" si="41"/>
        <v>993.24921344041343</v>
      </c>
    </row>
    <row r="446" spans="1:12" x14ac:dyDescent="0.25">
      <c r="A446">
        <v>444</v>
      </c>
      <c r="B446" s="1">
        <v>886</v>
      </c>
      <c r="C446" s="1">
        <v>1986.9614993753653</v>
      </c>
      <c r="D446">
        <f t="shared" si="37"/>
        <v>-993.48074968768265</v>
      </c>
      <c r="E446">
        <f t="shared" si="38"/>
        <v>993.48074968768265</v>
      </c>
      <c r="F446" s="7">
        <f t="shared" si="42"/>
        <v>1343238.6302038385</v>
      </c>
      <c r="G446" s="2">
        <f t="shared" si="39"/>
        <v>886</v>
      </c>
      <c r="J446" s="2">
        <v>1986.9614993753653</v>
      </c>
      <c r="K446" s="2">
        <f t="shared" si="40"/>
        <v>-993.48074968768265</v>
      </c>
      <c r="L446" s="2">
        <f t="shared" si="41"/>
        <v>993.48074968768265</v>
      </c>
    </row>
    <row r="447" spans="1:12" x14ac:dyDescent="0.25">
      <c r="A447">
        <v>445</v>
      </c>
      <c r="B447" s="1">
        <v>888</v>
      </c>
      <c r="C447" s="1">
        <v>1987.4164133366717</v>
      </c>
      <c r="D447">
        <f t="shared" si="37"/>
        <v>-993.70820666833583</v>
      </c>
      <c r="E447">
        <f t="shared" si="38"/>
        <v>993.70820666833583</v>
      </c>
      <c r="F447" s="7">
        <f t="shared" si="42"/>
        <v>1347213.0081165505</v>
      </c>
      <c r="G447" s="2">
        <f t="shared" si="39"/>
        <v>888</v>
      </c>
      <c r="J447" s="2">
        <v>1987.4164133366717</v>
      </c>
      <c r="K447" s="2">
        <f t="shared" si="40"/>
        <v>-993.70820666833583</v>
      </c>
      <c r="L447" s="2">
        <f t="shared" si="41"/>
        <v>993.70820666833583</v>
      </c>
    </row>
    <row r="448" spans="1:12" x14ac:dyDescent="0.25">
      <c r="A448">
        <v>446</v>
      </c>
      <c r="B448" s="1">
        <v>890</v>
      </c>
      <c r="C448" s="1">
        <v>1987.8631743658818</v>
      </c>
      <c r="D448">
        <f t="shared" si="37"/>
        <v>-993.93158718294092</v>
      </c>
      <c r="E448">
        <f t="shared" si="38"/>
        <v>993.93158718294092</v>
      </c>
      <c r="F448" s="7">
        <f t="shared" si="42"/>
        <v>1351188.2877042531</v>
      </c>
      <c r="G448" s="2">
        <f t="shared" si="39"/>
        <v>890</v>
      </c>
      <c r="J448" s="2">
        <v>1987.8631743658818</v>
      </c>
      <c r="K448" s="2">
        <f t="shared" si="40"/>
        <v>-993.93158718294092</v>
      </c>
      <c r="L448" s="2">
        <f t="shared" si="41"/>
        <v>993.93158718294092</v>
      </c>
    </row>
    <row r="449" spans="1:12" x14ac:dyDescent="0.25">
      <c r="A449">
        <v>447</v>
      </c>
      <c r="B449" s="1">
        <v>892</v>
      </c>
      <c r="C449" s="1">
        <v>1988.3017879587596</v>
      </c>
      <c r="D449">
        <f t="shared" si="37"/>
        <v>-994.15089397937982</v>
      </c>
      <c r="E449">
        <f t="shared" si="38"/>
        <v>994.15089397937982</v>
      </c>
      <c r="F449" s="7">
        <f t="shared" si="42"/>
        <v>1355164.4526665777</v>
      </c>
      <c r="G449" s="2">
        <f t="shared" si="39"/>
        <v>892</v>
      </c>
      <c r="J449" s="2">
        <v>1988.3017879587596</v>
      </c>
      <c r="K449" s="2">
        <f t="shared" si="40"/>
        <v>-994.15089397937982</v>
      </c>
      <c r="L449" s="2">
        <f t="shared" si="41"/>
        <v>994.15089397937982</v>
      </c>
    </row>
    <row r="450" spans="1:12" x14ac:dyDescent="0.25">
      <c r="A450">
        <v>448</v>
      </c>
      <c r="B450" s="1">
        <v>894</v>
      </c>
      <c r="C450" s="1">
        <v>1988.7322595060402</v>
      </c>
      <c r="D450">
        <f t="shared" si="37"/>
        <v>-994.36612975302012</v>
      </c>
      <c r="E450">
        <f t="shared" si="38"/>
        <v>994.36612975302012</v>
      </c>
      <c r="F450" s="7">
        <f t="shared" si="42"/>
        <v>1359141.4867140425</v>
      </c>
      <c r="G450" s="2">
        <f t="shared" si="39"/>
        <v>894</v>
      </c>
      <c r="J450" s="2">
        <v>1988.7322595060402</v>
      </c>
      <c r="K450" s="2">
        <f t="shared" si="40"/>
        <v>-994.36612975302012</v>
      </c>
      <c r="L450" s="2">
        <f t="shared" si="41"/>
        <v>994.36612975302012</v>
      </c>
    </row>
    <row r="451" spans="1:12" x14ac:dyDescent="0.25">
      <c r="A451">
        <v>449</v>
      </c>
      <c r="B451" s="1">
        <v>896</v>
      </c>
      <c r="C451" s="1">
        <v>1989.1545942937669</v>
      </c>
      <c r="D451">
        <f t="shared" si="37"/>
        <v>-994.57729714688344</v>
      </c>
      <c r="E451">
        <f t="shared" si="38"/>
        <v>994.57729714688344</v>
      </c>
      <c r="F451" s="7">
        <f t="shared" si="42"/>
        <v>1363119.3735678424</v>
      </c>
      <c r="G451" s="2">
        <f t="shared" si="39"/>
        <v>896</v>
      </c>
      <c r="J451" s="2">
        <v>1989.1545942937669</v>
      </c>
      <c r="K451" s="2">
        <f t="shared" si="40"/>
        <v>-994.57729714688344</v>
      </c>
      <c r="L451" s="2">
        <f t="shared" si="41"/>
        <v>994.57729714688344</v>
      </c>
    </row>
    <row r="452" spans="1:12" x14ac:dyDescent="0.25">
      <c r="A452">
        <v>450</v>
      </c>
      <c r="B452" s="1">
        <v>898</v>
      </c>
      <c r="C452" s="1">
        <v>1989.5687975036199</v>
      </c>
      <c r="D452">
        <f t="shared" ref="D452:D515" si="43">IF(A452&lt;=COUNT(B:B),-1*C452/2,NA())</f>
        <v>-994.78439875180993</v>
      </c>
      <c r="E452">
        <f t="shared" ref="E452:E515" si="44">IF(A452&lt;=COUNT(B:B),C452/2,NA())</f>
        <v>994.78439875180993</v>
      </c>
      <c r="F452" s="7">
        <f t="shared" si="42"/>
        <v>1367098.0969596398</v>
      </c>
      <c r="G452" s="2">
        <f t="shared" ref="G452:G515" si="45">B452-$B$3</f>
        <v>898</v>
      </c>
      <c r="J452" s="2">
        <v>1989.5687975036199</v>
      </c>
      <c r="K452" s="2">
        <f t="shared" ref="K452:K515" si="46">IF(A452&lt;=COUNT(B:B),$J452/2*-1,NA())</f>
        <v>-994.78439875180993</v>
      </c>
      <c r="L452" s="2">
        <f t="shared" ref="L452:L515" si="47">IF(A452&lt;=COUNT(B:B),$J452/2,NA())</f>
        <v>994.78439875180993</v>
      </c>
    </row>
    <row r="453" spans="1:12" x14ac:dyDescent="0.25">
      <c r="A453">
        <v>451</v>
      </c>
      <c r="B453" s="1">
        <v>900</v>
      </c>
      <c r="C453" s="1">
        <v>1989.9748742132399</v>
      </c>
      <c r="D453">
        <f t="shared" si="43"/>
        <v>-994.98743710661995</v>
      </c>
      <c r="E453">
        <f t="shared" si="44"/>
        <v>994.98743710661995</v>
      </c>
      <c r="F453" s="7">
        <f t="shared" ref="F453:F516" si="48">IF(A452&lt;COUNT(B:B),(($C453+$C452)*(B453-B452)/2)+F452,"")</f>
        <v>1371077.6406313567</v>
      </c>
      <c r="G453" s="2">
        <f t="shared" si="45"/>
        <v>900</v>
      </c>
      <c r="J453" s="2">
        <v>1989.9748742132399</v>
      </c>
      <c r="K453" s="2">
        <f t="shared" si="46"/>
        <v>-994.98743710661995</v>
      </c>
      <c r="L453" s="2">
        <f t="shared" si="47"/>
        <v>994.98743710661995</v>
      </c>
    </row>
    <row r="454" spans="1:12" x14ac:dyDescent="0.25">
      <c r="A454">
        <v>452</v>
      </c>
      <c r="B454" s="1">
        <v>902</v>
      </c>
      <c r="C454" s="1">
        <v>1990.372829396543</v>
      </c>
      <c r="D454">
        <f t="shared" si="43"/>
        <v>-995.18641469827151</v>
      </c>
      <c r="E454">
        <f t="shared" si="44"/>
        <v>995.18641469827151</v>
      </c>
      <c r="F454" s="7">
        <f t="shared" si="48"/>
        <v>1375057.9883349666</v>
      </c>
      <c r="G454" s="2">
        <f t="shared" si="45"/>
        <v>902</v>
      </c>
      <c r="J454" s="2">
        <v>1990.372829396543</v>
      </c>
      <c r="K454" s="2">
        <f t="shared" si="46"/>
        <v>-995.18641469827151</v>
      </c>
      <c r="L454" s="2">
        <f t="shared" si="47"/>
        <v>995.18641469827151</v>
      </c>
    </row>
    <row r="455" spans="1:12" x14ac:dyDescent="0.25">
      <c r="A455">
        <v>453</v>
      </c>
      <c r="B455" s="1">
        <v>904</v>
      </c>
      <c r="C455" s="1">
        <v>1990.7626679240295</v>
      </c>
      <c r="D455">
        <f t="shared" si="43"/>
        <v>-995.38133396201476</v>
      </c>
      <c r="E455">
        <f t="shared" si="44"/>
        <v>995.38133396201476</v>
      </c>
      <c r="F455" s="7">
        <f t="shared" si="48"/>
        <v>1379039.1238322873</v>
      </c>
      <c r="G455" s="2">
        <f t="shared" si="45"/>
        <v>904</v>
      </c>
      <c r="J455" s="2">
        <v>1990.7626679240295</v>
      </c>
      <c r="K455" s="2">
        <f t="shared" si="46"/>
        <v>-995.38133396201476</v>
      </c>
      <c r="L455" s="2">
        <f t="shared" si="47"/>
        <v>995.38133396201476</v>
      </c>
    </row>
    <row r="456" spans="1:12" x14ac:dyDescent="0.25">
      <c r="A456">
        <v>454</v>
      </c>
      <c r="B456" s="1">
        <v>906</v>
      </c>
      <c r="C456" s="1">
        <v>1991.1443945630865</v>
      </c>
      <c r="D456">
        <f t="shared" si="43"/>
        <v>-995.57219728154325</v>
      </c>
      <c r="E456">
        <f t="shared" si="44"/>
        <v>995.57219728154325</v>
      </c>
      <c r="F456" s="7">
        <f t="shared" si="48"/>
        <v>1383021.0308947745</v>
      </c>
      <c r="G456" s="2">
        <f t="shared" si="45"/>
        <v>906</v>
      </c>
      <c r="J456" s="2">
        <v>1991.1443945630865</v>
      </c>
      <c r="K456" s="2">
        <f t="shared" si="46"/>
        <v>-995.57219728154325</v>
      </c>
      <c r="L456" s="2">
        <f t="shared" si="47"/>
        <v>995.57219728154325</v>
      </c>
    </row>
    <row r="457" spans="1:12" x14ac:dyDescent="0.25">
      <c r="A457">
        <v>455</v>
      </c>
      <c r="B457" s="1">
        <v>908</v>
      </c>
      <c r="C457" s="1">
        <v>1991.5180139782819</v>
      </c>
      <c r="D457">
        <f t="shared" si="43"/>
        <v>-995.75900698914097</v>
      </c>
      <c r="E457">
        <f t="shared" si="44"/>
        <v>995.75900698914097</v>
      </c>
      <c r="F457" s="7">
        <f t="shared" si="48"/>
        <v>1387003.6933033159</v>
      </c>
      <c r="G457" s="2">
        <f t="shared" si="45"/>
        <v>908</v>
      </c>
      <c r="J457" s="2">
        <v>1991.5180139782819</v>
      </c>
      <c r="K457" s="2">
        <f t="shared" si="46"/>
        <v>-995.75900698914097</v>
      </c>
      <c r="L457" s="2">
        <f t="shared" si="47"/>
        <v>995.75900698914097</v>
      </c>
    </row>
    <row r="458" spans="1:12" x14ac:dyDescent="0.25">
      <c r="A458">
        <v>456</v>
      </c>
      <c r="B458" s="1">
        <v>910</v>
      </c>
      <c r="C458" s="1">
        <v>1991.883530731654</v>
      </c>
      <c r="D458">
        <f t="shared" si="43"/>
        <v>-995.941765365827</v>
      </c>
      <c r="E458">
        <f t="shared" si="44"/>
        <v>995.941765365827</v>
      </c>
      <c r="F458" s="7">
        <f t="shared" si="48"/>
        <v>1390987.0948480258</v>
      </c>
      <c r="G458" s="2">
        <f t="shared" si="45"/>
        <v>910</v>
      </c>
      <c r="J458" s="2">
        <v>1991.883530731654</v>
      </c>
      <c r="K458" s="2">
        <f t="shared" si="46"/>
        <v>-995.941765365827</v>
      </c>
      <c r="L458" s="2">
        <f t="shared" si="47"/>
        <v>995.941765365827</v>
      </c>
    </row>
    <row r="459" spans="1:12" x14ac:dyDescent="0.25">
      <c r="A459">
        <v>457</v>
      </c>
      <c r="B459" s="1">
        <v>912</v>
      </c>
      <c r="C459" s="1">
        <v>1992.2409492829927</v>
      </c>
      <c r="D459">
        <f t="shared" si="43"/>
        <v>-996.12047464149634</v>
      </c>
      <c r="E459">
        <f t="shared" si="44"/>
        <v>996.12047464149634</v>
      </c>
      <c r="F459" s="7">
        <f t="shared" si="48"/>
        <v>1394971.2193280405</v>
      </c>
      <c r="G459" s="2">
        <f t="shared" si="45"/>
        <v>912</v>
      </c>
      <c r="J459" s="2">
        <v>1992.2409492829927</v>
      </c>
      <c r="K459" s="2">
        <f t="shared" si="46"/>
        <v>-996.12047464149634</v>
      </c>
      <c r="L459" s="2">
        <f t="shared" si="47"/>
        <v>996.12047464149634</v>
      </c>
    </row>
    <row r="460" spans="1:12" x14ac:dyDescent="0.25">
      <c r="A460">
        <v>458</v>
      </c>
      <c r="B460" s="1">
        <v>914</v>
      </c>
      <c r="C460" s="1">
        <v>1992.5902739901146</v>
      </c>
      <c r="D460">
        <f t="shared" si="43"/>
        <v>-996.29513699505731</v>
      </c>
      <c r="E460">
        <f t="shared" si="44"/>
        <v>996.29513699505731</v>
      </c>
      <c r="F460" s="7">
        <f t="shared" si="48"/>
        <v>1398956.0505513137</v>
      </c>
      <c r="G460" s="2">
        <f t="shared" si="45"/>
        <v>914</v>
      </c>
      <c r="J460" s="2">
        <v>1992.5902739901146</v>
      </c>
      <c r="K460" s="2">
        <f t="shared" si="46"/>
        <v>-996.29513699505731</v>
      </c>
      <c r="L460" s="2">
        <f t="shared" si="47"/>
        <v>996.29513699505731</v>
      </c>
    </row>
    <row r="461" spans="1:12" x14ac:dyDescent="0.25">
      <c r="A461">
        <v>459</v>
      </c>
      <c r="B461" s="1">
        <v>916</v>
      </c>
      <c r="C461" s="1">
        <v>1992.9315091091314</v>
      </c>
      <c r="D461">
        <f t="shared" si="43"/>
        <v>-996.46575455456571</v>
      </c>
      <c r="E461">
        <f t="shared" si="44"/>
        <v>996.46575455456571</v>
      </c>
      <c r="F461" s="7">
        <f t="shared" si="48"/>
        <v>1402941.572334413</v>
      </c>
      <c r="G461" s="2">
        <f t="shared" si="45"/>
        <v>916</v>
      </c>
      <c r="J461" s="2">
        <v>1992.9315091091314</v>
      </c>
      <c r="K461" s="2">
        <f t="shared" si="46"/>
        <v>-996.46575455456571</v>
      </c>
      <c r="L461" s="2">
        <f t="shared" si="47"/>
        <v>996.46575455456571</v>
      </c>
    </row>
    <row r="462" spans="1:12" x14ac:dyDescent="0.25">
      <c r="A462">
        <v>460</v>
      </c>
      <c r="B462" s="1">
        <v>918</v>
      </c>
      <c r="C462" s="1">
        <v>1993.264658794712</v>
      </c>
      <c r="D462">
        <f t="shared" si="43"/>
        <v>-996.63232939735599</v>
      </c>
      <c r="E462">
        <f t="shared" si="44"/>
        <v>996.63232939735599</v>
      </c>
      <c r="F462" s="7">
        <f t="shared" si="48"/>
        <v>1406927.7685023169</v>
      </c>
      <c r="G462" s="2">
        <f t="shared" si="45"/>
        <v>918</v>
      </c>
      <c r="J462" s="2">
        <v>1993.264658794712</v>
      </c>
      <c r="K462" s="2">
        <f t="shared" si="46"/>
        <v>-996.63232939735599</v>
      </c>
      <c r="L462" s="2">
        <f t="shared" si="47"/>
        <v>996.63232939735599</v>
      </c>
    </row>
    <row r="463" spans="1:12" x14ac:dyDescent="0.25">
      <c r="A463">
        <v>461</v>
      </c>
      <c r="B463" s="1">
        <v>920</v>
      </c>
      <c r="C463" s="1">
        <v>1993.589727100338</v>
      </c>
      <c r="D463">
        <f t="shared" si="43"/>
        <v>-996.794863550169</v>
      </c>
      <c r="E463">
        <f t="shared" si="44"/>
        <v>996.794863550169</v>
      </c>
      <c r="F463" s="7">
        <f t="shared" si="48"/>
        <v>1410914.6228882119</v>
      </c>
      <c r="G463" s="2">
        <f t="shared" si="45"/>
        <v>920</v>
      </c>
      <c r="J463" s="2">
        <v>1993.589727100338</v>
      </c>
      <c r="K463" s="2">
        <f t="shared" si="46"/>
        <v>-996.794863550169</v>
      </c>
      <c r="L463" s="2">
        <f t="shared" si="47"/>
        <v>996.794863550169</v>
      </c>
    </row>
    <row r="464" spans="1:12" x14ac:dyDescent="0.25">
      <c r="A464">
        <v>462</v>
      </c>
      <c r="B464" s="1">
        <v>922</v>
      </c>
      <c r="C464" s="1">
        <v>1993.9067179785518</v>
      </c>
      <c r="D464">
        <f t="shared" si="43"/>
        <v>-996.9533589892759</v>
      </c>
      <c r="E464">
        <f t="shared" si="44"/>
        <v>996.9533589892759</v>
      </c>
      <c r="F464" s="7">
        <f t="shared" si="48"/>
        <v>1414902.1193332907</v>
      </c>
      <c r="G464" s="2">
        <f t="shared" si="45"/>
        <v>922</v>
      </c>
      <c r="J464" s="2">
        <v>1993.9067179785518</v>
      </c>
      <c r="K464" s="2">
        <f t="shared" si="46"/>
        <v>-996.9533589892759</v>
      </c>
      <c r="L464" s="2">
        <f t="shared" si="47"/>
        <v>996.9533589892759</v>
      </c>
    </row>
    <row r="465" spans="1:12" x14ac:dyDescent="0.25">
      <c r="A465">
        <v>463</v>
      </c>
      <c r="B465" s="1">
        <v>924</v>
      </c>
      <c r="C465" s="1">
        <v>1994.2156352811999</v>
      </c>
      <c r="D465">
        <f t="shared" si="43"/>
        <v>-997.10781764059993</v>
      </c>
      <c r="E465">
        <f t="shared" si="44"/>
        <v>997.10781764059993</v>
      </c>
      <c r="F465" s="7">
        <f t="shared" si="48"/>
        <v>1418890.2416865504</v>
      </c>
      <c r="G465" s="2">
        <f t="shared" si="45"/>
        <v>924</v>
      </c>
      <c r="J465" s="2">
        <v>1994.2156352811999</v>
      </c>
      <c r="K465" s="2">
        <f t="shared" si="46"/>
        <v>-997.10781764059993</v>
      </c>
      <c r="L465" s="2">
        <f t="shared" si="47"/>
        <v>997.10781764059993</v>
      </c>
    </row>
    <row r="466" spans="1:12" x14ac:dyDescent="0.25">
      <c r="A466">
        <v>464</v>
      </c>
      <c r="B466" s="1">
        <v>926</v>
      </c>
      <c r="C466" s="1">
        <v>1994.5164827596689</v>
      </c>
      <c r="D466">
        <f t="shared" si="43"/>
        <v>-997.25824137983443</v>
      </c>
      <c r="E466">
        <f t="shared" si="44"/>
        <v>997.25824137983443</v>
      </c>
      <c r="F466" s="7">
        <f t="shared" si="48"/>
        <v>1422878.9738045912</v>
      </c>
      <c r="G466" s="2">
        <f t="shared" si="45"/>
        <v>926</v>
      </c>
      <c r="J466" s="2">
        <v>1994.5164827596689</v>
      </c>
      <c r="K466" s="2">
        <f t="shared" si="46"/>
        <v>-997.25824137983443</v>
      </c>
      <c r="L466" s="2">
        <f t="shared" si="47"/>
        <v>997.25824137983443</v>
      </c>
    </row>
    <row r="467" spans="1:12" x14ac:dyDescent="0.25">
      <c r="A467">
        <v>465</v>
      </c>
      <c r="B467" s="1">
        <v>928</v>
      </c>
      <c r="C467" s="1">
        <v>1994.8092640651137</v>
      </c>
      <c r="D467">
        <f t="shared" si="43"/>
        <v>-997.40463203255683</v>
      </c>
      <c r="E467">
        <f t="shared" si="44"/>
        <v>997.40463203255683</v>
      </c>
      <c r="F467" s="7">
        <f t="shared" si="48"/>
        <v>1426868.299551416</v>
      </c>
      <c r="G467" s="2">
        <f t="shared" si="45"/>
        <v>928</v>
      </c>
      <c r="J467" s="2">
        <v>1994.8092640651137</v>
      </c>
      <c r="K467" s="2">
        <f t="shared" si="46"/>
        <v>-997.40463203255683</v>
      </c>
      <c r="L467" s="2">
        <f t="shared" si="47"/>
        <v>997.40463203255683</v>
      </c>
    </row>
    <row r="468" spans="1:12" x14ac:dyDescent="0.25">
      <c r="A468">
        <v>466</v>
      </c>
      <c r="B468" s="1">
        <v>930</v>
      </c>
      <c r="C468" s="1">
        <v>1995.0939827486825</v>
      </c>
      <c r="D468">
        <f t="shared" si="43"/>
        <v>-997.54699137434125</v>
      </c>
      <c r="E468">
        <f t="shared" si="44"/>
        <v>997.54699137434125</v>
      </c>
      <c r="F468" s="7">
        <f t="shared" si="48"/>
        <v>1430858.2027982296</v>
      </c>
      <c r="G468" s="2">
        <f t="shared" si="45"/>
        <v>930</v>
      </c>
      <c r="J468" s="2">
        <v>1995.0939827486825</v>
      </c>
      <c r="K468" s="2">
        <f t="shared" si="46"/>
        <v>-997.54699137434125</v>
      </c>
      <c r="L468" s="2">
        <f t="shared" si="47"/>
        <v>997.54699137434125</v>
      </c>
    </row>
    <row r="469" spans="1:12" x14ac:dyDescent="0.25">
      <c r="A469">
        <v>467</v>
      </c>
      <c r="B469" s="1">
        <v>932</v>
      </c>
      <c r="C469" s="1">
        <v>1995.3706422617329</v>
      </c>
      <c r="D469">
        <f t="shared" si="43"/>
        <v>-997.68532113086644</v>
      </c>
      <c r="E469">
        <f t="shared" si="44"/>
        <v>997.68532113086644</v>
      </c>
      <c r="F469" s="7">
        <f t="shared" si="48"/>
        <v>1434848.6674232401</v>
      </c>
      <c r="G469" s="2">
        <f t="shared" si="45"/>
        <v>932</v>
      </c>
      <c r="J469" s="2">
        <v>1995.3706422617329</v>
      </c>
      <c r="K469" s="2">
        <f t="shared" si="46"/>
        <v>-997.68532113086644</v>
      </c>
      <c r="L469" s="2">
        <f t="shared" si="47"/>
        <v>997.68532113086644</v>
      </c>
    </row>
    <row r="470" spans="1:12" x14ac:dyDescent="0.25">
      <c r="A470">
        <v>468</v>
      </c>
      <c r="B470" s="1">
        <v>934</v>
      </c>
      <c r="C470" s="1">
        <v>1995.639245956042</v>
      </c>
      <c r="D470">
        <f t="shared" si="43"/>
        <v>-997.81962297802102</v>
      </c>
      <c r="E470">
        <f t="shared" si="44"/>
        <v>997.81962297802102</v>
      </c>
      <c r="F470" s="7">
        <f t="shared" si="48"/>
        <v>1438839.6773114579</v>
      </c>
      <c r="G470" s="2">
        <f t="shared" si="45"/>
        <v>934</v>
      </c>
      <c r="J470" s="2">
        <v>1995.639245956042</v>
      </c>
      <c r="K470" s="2">
        <f t="shared" si="46"/>
        <v>-997.81962297802102</v>
      </c>
      <c r="L470" s="2">
        <f t="shared" si="47"/>
        <v>997.81962297802102</v>
      </c>
    </row>
    <row r="471" spans="1:12" x14ac:dyDescent="0.25">
      <c r="A471">
        <v>469</v>
      </c>
      <c r="B471" s="1">
        <v>936</v>
      </c>
      <c r="C471" s="1">
        <v>1995.8997970840119</v>
      </c>
      <c r="D471">
        <f t="shared" si="43"/>
        <v>-997.94989854200594</v>
      </c>
      <c r="E471">
        <f t="shared" si="44"/>
        <v>997.94989854200594</v>
      </c>
      <c r="F471" s="7">
        <f t="shared" si="48"/>
        <v>1442831.2163544979</v>
      </c>
      <c r="G471" s="2">
        <f t="shared" si="45"/>
        <v>936</v>
      </c>
      <c r="J471" s="2">
        <v>1995.8997970840119</v>
      </c>
      <c r="K471" s="2">
        <f t="shared" si="46"/>
        <v>-997.94989854200594</v>
      </c>
      <c r="L471" s="2">
        <f t="shared" si="47"/>
        <v>997.94989854200594</v>
      </c>
    </row>
    <row r="472" spans="1:12" x14ac:dyDescent="0.25">
      <c r="A472">
        <v>470</v>
      </c>
      <c r="B472" s="1">
        <v>938</v>
      </c>
      <c r="C472" s="1">
        <v>1996.1522987988667</v>
      </c>
      <c r="D472">
        <f t="shared" si="43"/>
        <v>-998.07614939943335</v>
      </c>
      <c r="E472">
        <f t="shared" si="44"/>
        <v>998.07614939943335</v>
      </c>
      <c r="F472" s="7">
        <f t="shared" si="48"/>
        <v>1446823.2684503808</v>
      </c>
      <c r="G472" s="2">
        <f t="shared" si="45"/>
        <v>938</v>
      </c>
      <c r="J472" s="2">
        <v>1996.1522987988667</v>
      </c>
      <c r="K472" s="2">
        <f t="shared" si="46"/>
        <v>-998.07614939943335</v>
      </c>
      <c r="L472" s="2">
        <f t="shared" si="47"/>
        <v>998.07614939943335</v>
      </c>
    </row>
    <row r="473" spans="1:12" x14ac:dyDescent="0.25">
      <c r="A473">
        <v>471</v>
      </c>
      <c r="B473" s="1">
        <v>940</v>
      </c>
      <c r="C473" s="1">
        <v>1996.3967541548448</v>
      </c>
      <c r="D473">
        <f t="shared" si="43"/>
        <v>-998.19837707742238</v>
      </c>
      <c r="E473">
        <f t="shared" si="44"/>
        <v>998.19837707742238</v>
      </c>
      <c r="F473" s="7">
        <f t="shared" si="48"/>
        <v>1450815.8175033345</v>
      </c>
      <c r="G473" s="2">
        <f t="shared" si="45"/>
        <v>940</v>
      </c>
      <c r="J473" s="2">
        <v>1996.3967541548448</v>
      </c>
      <c r="K473" s="2">
        <f t="shared" si="46"/>
        <v>-998.19837707742238</v>
      </c>
      <c r="L473" s="2">
        <f t="shared" si="47"/>
        <v>998.19837707742238</v>
      </c>
    </row>
    <row r="474" spans="1:12" x14ac:dyDescent="0.25">
      <c r="A474">
        <v>472</v>
      </c>
      <c r="B474" s="1">
        <v>942</v>
      </c>
      <c r="C474" s="1">
        <v>1996.6331661073848</v>
      </c>
      <c r="D474">
        <f t="shared" si="43"/>
        <v>-998.3165830536924</v>
      </c>
      <c r="E474">
        <f t="shared" si="44"/>
        <v>998.3165830536924</v>
      </c>
      <c r="F474" s="7">
        <f t="shared" si="48"/>
        <v>1454808.8474235968</v>
      </c>
      <c r="G474" s="2">
        <f t="shared" si="45"/>
        <v>942</v>
      </c>
      <c r="J474" s="2">
        <v>1996.6331661073848</v>
      </c>
      <c r="K474" s="2">
        <f t="shared" si="46"/>
        <v>-998.3165830536924</v>
      </c>
      <c r="L474" s="2">
        <f t="shared" si="47"/>
        <v>998.3165830536924</v>
      </c>
    </row>
    <row r="475" spans="1:12" x14ac:dyDescent="0.25">
      <c r="A475">
        <v>473</v>
      </c>
      <c r="B475" s="1">
        <v>944</v>
      </c>
      <c r="C475" s="1">
        <v>1996.8615375133049</v>
      </c>
      <c r="D475">
        <f t="shared" si="43"/>
        <v>-998.43076875665247</v>
      </c>
      <c r="E475">
        <f t="shared" si="44"/>
        <v>998.43076875665247</v>
      </c>
      <c r="F475" s="7">
        <f t="shared" si="48"/>
        <v>1458802.3421272174</v>
      </c>
      <c r="G475" s="2">
        <f t="shared" si="45"/>
        <v>944</v>
      </c>
      <c r="J475" s="2">
        <v>1996.8615375133049</v>
      </c>
      <c r="K475" s="2">
        <f t="shared" si="46"/>
        <v>-998.43076875665247</v>
      </c>
      <c r="L475" s="2">
        <f t="shared" si="47"/>
        <v>998.43076875665247</v>
      </c>
    </row>
    <row r="476" spans="1:12" x14ac:dyDescent="0.25">
      <c r="A476">
        <v>474</v>
      </c>
      <c r="B476" s="1">
        <v>946</v>
      </c>
      <c r="C476" s="1">
        <v>1997.081871130976</v>
      </c>
      <c r="D476">
        <f t="shared" si="43"/>
        <v>-998.54093556548798</v>
      </c>
      <c r="E476">
        <f t="shared" si="44"/>
        <v>998.54093556548798</v>
      </c>
      <c r="F476" s="7">
        <f t="shared" si="48"/>
        <v>1462796.2855358617</v>
      </c>
      <c r="G476" s="2">
        <f t="shared" si="45"/>
        <v>946</v>
      </c>
      <c r="J476" s="2">
        <v>1997.081871130976</v>
      </c>
      <c r="K476" s="2">
        <f t="shared" si="46"/>
        <v>-998.54093556548798</v>
      </c>
      <c r="L476" s="2">
        <f t="shared" si="47"/>
        <v>998.54093556548798</v>
      </c>
    </row>
    <row r="477" spans="1:12" x14ac:dyDescent="0.25">
      <c r="A477">
        <v>475</v>
      </c>
      <c r="B477" s="1">
        <v>948</v>
      </c>
      <c r="C477" s="1">
        <v>1997.2941696204894</v>
      </c>
      <c r="D477">
        <f t="shared" si="43"/>
        <v>-998.64708481024468</v>
      </c>
      <c r="E477">
        <f t="shared" si="44"/>
        <v>998.64708481024468</v>
      </c>
      <c r="F477" s="7">
        <f t="shared" si="48"/>
        <v>1466790.6615766133</v>
      </c>
      <c r="G477" s="2">
        <f t="shared" si="45"/>
        <v>948</v>
      </c>
      <c r="J477" s="2">
        <v>1997.2941696204894</v>
      </c>
      <c r="K477" s="2">
        <f t="shared" si="46"/>
        <v>-998.64708481024468</v>
      </c>
      <c r="L477" s="2">
        <f t="shared" si="47"/>
        <v>998.64708481024468</v>
      </c>
    </row>
    <row r="478" spans="1:12" x14ac:dyDescent="0.25">
      <c r="A478">
        <v>476</v>
      </c>
      <c r="B478" s="1">
        <v>950</v>
      </c>
      <c r="C478" s="1">
        <v>1997.498435543818</v>
      </c>
      <c r="D478">
        <f t="shared" si="43"/>
        <v>-998.749217771909</v>
      </c>
      <c r="E478">
        <f t="shared" si="44"/>
        <v>998.749217771909</v>
      </c>
      <c r="F478" s="7">
        <f t="shared" si="48"/>
        <v>1470785.4541817775</v>
      </c>
      <c r="G478" s="2">
        <f t="shared" si="45"/>
        <v>950</v>
      </c>
      <c r="J478" s="2">
        <v>1997.498435543818</v>
      </c>
      <c r="K478" s="2">
        <f t="shared" si="46"/>
        <v>-998.749217771909</v>
      </c>
      <c r="L478" s="2">
        <f t="shared" si="47"/>
        <v>998.749217771909</v>
      </c>
    </row>
    <row r="479" spans="1:12" x14ac:dyDescent="0.25">
      <c r="A479">
        <v>477</v>
      </c>
      <c r="B479" s="1">
        <v>952</v>
      </c>
      <c r="C479" s="1">
        <v>1997.6946713649711</v>
      </c>
      <c r="D479">
        <f t="shared" si="43"/>
        <v>-998.84733568248555</v>
      </c>
      <c r="E479">
        <f t="shared" si="44"/>
        <v>998.84733568248555</v>
      </c>
      <c r="F479" s="7">
        <f t="shared" si="48"/>
        <v>1474780.6472886864</v>
      </c>
      <c r="G479" s="2">
        <f t="shared" si="45"/>
        <v>952</v>
      </c>
      <c r="J479" s="2">
        <v>1997.6946713649711</v>
      </c>
      <c r="K479" s="2">
        <f t="shared" si="46"/>
        <v>-998.84733568248555</v>
      </c>
      <c r="L479" s="2">
        <f t="shared" si="47"/>
        <v>998.84733568248555</v>
      </c>
    </row>
    <row r="480" spans="1:12" x14ac:dyDescent="0.25">
      <c r="A480">
        <v>478</v>
      </c>
      <c r="B480" s="1">
        <v>954</v>
      </c>
      <c r="C480" s="1">
        <v>1997.8828794501444</v>
      </c>
      <c r="D480">
        <f t="shared" si="43"/>
        <v>-998.9414397250722</v>
      </c>
      <c r="E480">
        <f t="shared" si="44"/>
        <v>998.9414397250722</v>
      </c>
      <c r="F480" s="7">
        <f t="shared" si="48"/>
        <v>1478776.2248395015</v>
      </c>
      <c r="G480" s="2">
        <f t="shared" si="45"/>
        <v>954</v>
      </c>
      <c r="J480" s="2">
        <v>1997.8828794501444</v>
      </c>
      <c r="K480" s="2">
        <f t="shared" si="46"/>
        <v>-998.9414397250722</v>
      </c>
      <c r="L480" s="2">
        <f t="shared" si="47"/>
        <v>998.9414397250722</v>
      </c>
    </row>
    <row r="481" spans="1:12" x14ac:dyDescent="0.25">
      <c r="A481">
        <v>479</v>
      </c>
      <c r="B481" s="1">
        <v>956</v>
      </c>
      <c r="C481" s="1">
        <v>1998.0630620678617</v>
      </c>
      <c r="D481">
        <f t="shared" si="43"/>
        <v>-999.03153103393083</v>
      </c>
      <c r="E481">
        <f t="shared" si="44"/>
        <v>999.03153103393083</v>
      </c>
      <c r="F481" s="7">
        <f t="shared" si="48"/>
        <v>1482772.1707810196</v>
      </c>
      <c r="G481" s="2">
        <f t="shared" si="45"/>
        <v>956</v>
      </c>
      <c r="J481" s="2">
        <v>1998.0630620678617</v>
      </c>
      <c r="K481" s="2">
        <f t="shared" si="46"/>
        <v>-999.03153103393083</v>
      </c>
      <c r="L481" s="2">
        <f t="shared" si="47"/>
        <v>999.03153103393083</v>
      </c>
    </row>
    <row r="482" spans="1:12" x14ac:dyDescent="0.25">
      <c r="A482">
        <v>480</v>
      </c>
      <c r="B482" s="1">
        <v>958</v>
      </c>
      <c r="C482" s="1">
        <v>1998.2352213891136</v>
      </c>
      <c r="D482">
        <f t="shared" si="43"/>
        <v>-999.11761069455679</v>
      </c>
      <c r="E482">
        <f t="shared" si="44"/>
        <v>999.11761069455679</v>
      </c>
      <c r="F482" s="7">
        <f t="shared" si="48"/>
        <v>1486768.4690644767</v>
      </c>
      <c r="G482" s="2">
        <f t="shared" si="45"/>
        <v>958</v>
      </c>
      <c r="J482" s="2">
        <v>1998.2352213891136</v>
      </c>
      <c r="K482" s="2">
        <f t="shared" si="46"/>
        <v>-999.11761069455679</v>
      </c>
      <c r="L482" s="2">
        <f t="shared" si="47"/>
        <v>999.11761069455679</v>
      </c>
    </row>
    <row r="483" spans="1:12" x14ac:dyDescent="0.25">
      <c r="A483">
        <v>481</v>
      </c>
      <c r="B483" s="1">
        <v>960</v>
      </c>
      <c r="C483" s="1">
        <v>1998.3993594874873</v>
      </c>
      <c r="D483">
        <f t="shared" si="43"/>
        <v>-999.19967974374367</v>
      </c>
      <c r="E483">
        <f t="shared" si="44"/>
        <v>999.19967974374367</v>
      </c>
      <c r="F483" s="7">
        <f t="shared" si="48"/>
        <v>1490765.1036453533</v>
      </c>
      <c r="G483" s="2">
        <f t="shared" si="45"/>
        <v>960</v>
      </c>
      <c r="J483" s="2">
        <v>1998.3993594874873</v>
      </c>
      <c r="K483" s="2">
        <f t="shared" si="46"/>
        <v>-999.19967974374367</v>
      </c>
      <c r="L483" s="2">
        <f t="shared" si="47"/>
        <v>999.19967974374367</v>
      </c>
    </row>
    <row r="484" spans="1:12" x14ac:dyDescent="0.25">
      <c r="A484">
        <v>482</v>
      </c>
      <c r="B484" s="1">
        <v>962</v>
      </c>
      <c r="C484" s="1">
        <v>1998.5554783392929</v>
      </c>
      <c r="D484">
        <f t="shared" si="43"/>
        <v>-999.27773916964645</v>
      </c>
      <c r="E484">
        <f t="shared" si="44"/>
        <v>999.27773916964645</v>
      </c>
      <c r="F484" s="7">
        <f t="shared" si="48"/>
        <v>1494762.0584831801</v>
      </c>
      <c r="G484" s="2">
        <f t="shared" si="45"/>
        <v>962</v>
      </c>
      <c r="J484" s="2">
        <v>1998.5554783392929</v>
      </c>
      <c r="K484" s="2">
        <f t="shared" si="46"/>
        <v>-999.27773916964645</v>
      </c>
      <c r="L484" s="2">
        <f t="shared" si="47"/>
        <v>999.27773916964645</v>
      </c>
    </row>
    <row r="485" spans="1:12" x14ac:dyDescent="0.25">
      <c r="A485">
        <v>483</v>
      </c>
      <c r="B485" s="1">
        <v>964</v>
      </c>
      <c r="C485" s="1">
        <v>1998.7035798236816</v>
      </c>
      <c r="D485">
        <f t="shared" si="43"/>
        <v>-999.3517899118408</v>
      </c>
      <c r="E485">
        <f t="shared" si="44"/>
        <v>999.3517899118408</v>
      </c>
      <c r="F485" s="7">
        <f t="shared" si="48"/>
        <v>1498759.3175413432</v>
      </c>
      <c r="G485" s="2">
        <f t="shared" si="45"/>
        <v>964</v>
      </c>
      <c r="J485" s="2">
        <v>1998.7035798236816</v>
      </c>
      <c r="K485" s="2">
        <f t="shared" si="46"/>
        <v>-999.3517899118408</v>
      </c>
      <c r="L485" s="2">
        <f t="shared" si="47"/>
        <v>999.3517899118408</v>
      </c>
    </row>
    <row r="486" spans="1:12" x14ac:dyDescent="0.25">
      <c r="A486">
        <v>484</v>
      </c>
      <c r="B486" s="1">
        <v>966</v>
      </c>
      <c r="C486" s="1">
        <v>1998.8436657227599</v>
      </c>
      <c r="D486">
        <f t="shared" si="43"/>
        <v>-999.42183286137993</v>
      </c>
      <c r="E486">
        <f t="shared" si="44"/>
        <v>999.42183286137993</v>
      </c>
      <c r="F486" s="7">
        <f t="shared" si="48"/>
        <v>1502756.8647868896</v>
      </c>
      <c r="G486" s="2">
        <f t="shared" si="45"/>
        <v>966</v>
      </c>
      <c r="J486" s="2">
        <v>1998.8436657227599</v>
      </c>
      <c r="K486" s="2">
        <f t="shared" si="46"/>
        <v>-999.42183286137993</v>
      </c>
      <c r="L486" s="2">
        <f t="shared" si="47"/>
        <v>999.42183286137993</v>
      </c>
    </row>
    <row r="487" spans="1:12" x14ac:dyDescent="0.25">
      <c r="A487">
        <v>485</v>
      </c>
      <c r="B487" s="1">
        <v>968</v>
      </c>
      <c r="C487" s="1">
        <v>1998.9757377216963</v>
      </c>
      <c r="D487">
        <f t="shared" si="43"/>
        <v>-999.48786886084815</v>
      </c>
      <c r="E487">
        <f t="shared" si="44"/>
        <v>999.48786886084815</v>
      </c>
      <c r="F487" s="7">
        <f t="shared" si="48"/>
        <v>1506754.6841903341</v>
      </c>
      <c r="G487" s="2">
        <f t="shared" si="45"/>
        <v>968</v>
      </c>
      <c r="J487" s="2">
        <v>1998.9757377216963</v>
      </c>
      <c r="K487" s="2">
        <f t="shared" si="46"/>
        <v>-999.48786886084815</v>
      </c>
      <c r="L487" s="2">
        <f t="shared" si="47"/>
        <v>999.48786886084815</v>
      </c>
    </row>
    <row r="488" spans="1:12" x14ac:dyDescent="0.25">
      <c r="A488">
        <v>486</v>
      </c>
      <c r="B488" s="1">
        <v>970</v>
      </c>
      <c r="C488" s="1">
        <v>1999.0997974088236</v>
      </c>
      <c r="D488">
        <f t="shared" si="43"/>
        <v>-999.54989870441182</v>
      </c>
      <c r="E488">
        <f t="shared" si="44"/>
        <v>999.54989870441182</v>
      </c>
      <c r="F488" s="7">
        <f t="shared" si="48"/>
        <v>1510752.7597254645</v>
      </c>
      <c r="G488" s="2">
        <f t="shared" si="45"/>
        <v>970</v>
      </c>
      <c r="J488" s="2">
        <v>1999.0997974088236</v>
      </c>
      <c r="K488" s="2">
        <f t="shared" si="46"/>
        <v>-999.54989870441182</v>
      </c>
      <c r="L488" s="2">
        <f t="shared" si="47"/>
        <v>999.54989870441182</v>
      </c>
    </row>
    <row r="489" spans="1:12" x14ac:dyDescent="0.25">
      <c r="A489">
        <v>487</v>
      </c>
      <c r="B489" s="1">
        <v>972</v>
      </c>
      <c r="C489" s="1">
        <v>1999.2158462757343</v>
      </c>
      <c r="D489">
        <f t="shared" si="43"/>
        <v>-999.60792313786715</v>
      </c>
      <c r="E489">
        <f t="shared" si="44"/>
        <v>999.60792313786715</v>
      </c>
      <c r="F489" s="7">
        <f t="shared" si="48"/>
        <v>1514751.075369149</v>
      </c>
      <c r="G489" s="2">
        <f t="shared" si="45"/>
        <v>972</v>
      </c>
      <c r="J489" s="2">
        <v>1999.2158462757343</v>
      </c>
      <c r="K489" s="2">
        <f t="shared" si="46"/>
        <v>-999.60792313786715</v>
      </c>
      <c r="L489" s="2">
        <f t="shared" si="47"/>
        <v>999.60792313786715</v>
      </c>
    </row>
    <row r="490" spans="1:12" x14ac:dyDescent="0.25">
      <c r="A490">
        <v>488</v>
      </c>
      <c r="B490" s="1">
        <v>974</v>
      </c>
      <c r="C490" s="1">
        <v>1999.3238857173692</v>
      </c>
      <c r="D490">
        <f t="shared" si="43"/>
        <v>-999.6619428586846</v>
      </c>
      <c r="E490">
        <f t="shared" si="44"/>
        <v>999.6619428586846</v>
      </c>
      <c r="F490" s="7">
        <f t="shared" si="48"/>
        <v>1518749.6151011421</v>
      </c>
      <c r="G490" s="2">
        <f t="shared" si="45"/>
        <v>974</v>
      </c>
      <c r="J490" s="2">
        <v>1999.3238857173692</v>
      </c>
      <c r="K490" s="2">
        <f t="shared" si="46"/>
        <v>-999.6619428586846</v>
      </c>
      <c r="L490" s="2">
        <f t="shared" si="47"/>
        <v>999.6619428586846</v>
      </c>
    </row>
    <row r="491" spans="1:12" x14ac:dyDescent="0.25">
      <c r="A491">
        <v>489</v>
      </c>
      <c r="B491" s="1">
        <v>976</v>
      </c>
      <c r="C491" s="1">
        <v>1999.4239170321034</v>
      </c>
      <c r="D491">
        <f t="shared" si="43"/>
        <v>-999.71195851605171</v>
      </c>
      <c r="E491">
        <f t="shared" si="44"/>
        <v>999.71195851605171</v>
      </c>
      <c r="F491" s="7">
        <f t="shared" si="48"/>
        <v>1522748.3629038916</v>
      </c>
      <c r="G491" s="2">
        <f t="shared" si="45"/>
        <v>976</v>
      </c>
      <c r="J491" s="2">
        <v>1999.4239170321034</v>
      </c>
      <c r="K491" s="2">
        <f t="shared" si="46"/>
        <v>-999.71195851605171</v>
      </c>
      <c r="L491" s="2">
        <f t="shared" si="47"/>
        <v>999.71195851605171</v>
      </c>
    </row>
    <row r="492" spans="1:12" x14ac:dyDescent="0.25">
      <c r="A492">
        <v>490</v>
      </c>
      <c r="B492" s="1">
        <v>978</v>
      </c>
      <c r="C492" s="1">
        <v>1999.5159414218233</v>
      </c>
      <c r="D492">
        <f t="shared" si="43"/>
        <v>-999.75797071091165</v>
      </c>
      <c r="E492">
        <f t="shared" si="44"/>
        <v>999.75797071091165</v>
      </c>
      <c r="F492" s="7">
        <f t="shared" si="48"/>
        <v>1526747.3027623454</v>
      </c>
      <c r="G492" s="2">
        <f t="shared" si="45"/>
        <v>978</v>
      </c>
      <c r="J492" s="2">
        <v>1999.5159414218233</v>
      </c>
      <c r="K492" s="2">
        <f t="shared" si="46"/>
        <v>-999.75797071091165</v>
      </c>
      <c r="L492" s="2">
        <f t="shared" si="47"/>
        <v>999.75797071091165</v>
      </c>
    </row>
    <row r="493" spans="1:12" x14ac:dyDescent="0.25">
      <c r="A493">
        <v>491</v>
      </c>
      <c r="B493" s="1">
        <v>980</v>
      </c>
      <c r="C493" s="1">
        <v>1999.599959991998</v>
      </c>
      <c r="D493">
        <f t="shared" si="43"/>
        <v>-999.79997999599902</v>
      </c>
      <c r="E493">
        <f t="shared" si="44"/>
        <v>999.79997999599902</v>
      </c>
      <c r="F493" s="7">
        <f t="shared" si="48"/>
        <v>1530746.4186637593</v>
      </c>
      <c r="G493" s="2">
        <f t="shared" si="45"/>
        <v>980</v>
      </c>
      <c r="J493" s="2">
        <v>1999.599959991998</v>
      </c>
      <c r="K493" s="2">
        <f t="shared" si="46"/>
        <v>-999.79997999599902</v>
      </c>
      <c r="L493" s="2">
        <f t="shared" si="47"/>
        <v>999.79997999599902</v>
      </c>
    </row>
    <row r="494" spans="1:12" x14ac:dyDescent="0.25">
      <c r="A494">
        <v>492</v>
      </c>
      <c r="B494" s="1">
        <v>982</v>
      </c>
      <c r="C494" s="1">
        <v>1999.6759737517475</v>
      </c>
      <c r="D494">
        <f t="shared" si="43"/>
        <v>-999.83798687587375</v>
      </c>
      <c r="E494">
        <f t="shared" si="44"/>
        <v>999.83798687587375</v>
      </c>
      <c r="F494" s="7">
        <f t="shared" si="48"/>
        <v>1534745.6945975029</v>
      </c>
      <c r="G494" s="2">
        <f t="shared" si="45"/>
        <v>982</v>
      </c>
      <c r="J494" s="2">
        <v>1999.6759737517475</v>
      </c>
      <c r="K494" s="2">
        <f t="shared" si="46"/>
        <v>-999.83798687587375</v>
      </c>
      <c r="L494" s="2">
        <f t="shared" si="47"/>
        <v>999.83798687587375</v>
      </c>
    </row>
    <row r="495" spans="1:12" x14ac:dyDescent="0.25">
      <c r="A495">
        <v>493</v>
      </c>
      <c r="B495" s="1">
        <v>984</v>
      </c>
      <c r="C495" s="1">
        <v>1999.7439836139024</v>
      </c>
      <c r="D495">
        <f t="shared" si="43"/>
        <v>-999.8719918069512</v>
      </c>
      <c r="E495">
        <f t="shared" si="44"/>
        <v>999.8719918069512</v>
      </c>
      <c r="F495" s="7">
        <f t="shared" si="48"/>
        <v>1538745.1145548685</v>
      </c>
      <c r="G495" s="2">
        <f t="shared" si="45"/>
        <v>984</v>
      </c>
      <c r="J495" s="2">
        <v>1999.7439836139024</v>
      </c>
      <c r="K495" s="2">
        <f t="shared" si="46"/>
        <v>-999.8719918069512</v>
      </c>
      <c r="L495" s="2">
        <f t="shared" si="47"/>
        <v>999.8719918069512</v>
      </c>
    </row>
    <row r="496" spans="1:12" x14ac:dyDescent="0.25">
      <c r="A496">
        <v>494</v>
      </c>
      <c r="B496" s="1">
        <v>986</v>
      </c>
      <c r="C496" s="1">
        <v>1999.8039903950587</v>
      </c>
      <c r="D496">
        <f t="shared" si="43"/>
        <v>-999.90199519752935</v>
      </c>
      <c r="E496">
        <f t="shared" si="44"/>
        <v>999.90199519752935</v>
      </c>
      <c r="F496" s="7">
        <f t="shared" si="48"/>
        <v>1542744.6625288776</v>
      </c>
      <c r="G496" s="2">
        <f t="shared" si="45"/>
        <v>986</v>
      </c>
      <c r="J496" s="2">
        <v>1999.8039903950587</v>
      </c>
      <c r="K496" s="2">
        <f t="shared" si="46"/>
        <v>-999.90199519752935</v>
      </c>
      <c r="L496" s="2">
        <f t="shared" si="47"/>
        <v>999.90199519752935</v>
      </c>
    </row>
    <row r="497" spans="1:12" x14ac:dyDescent="0.25">
      <c r="A497">
        <v>495</v>
      </c>
      <c r="B497" s="1">
        <v>988</v>
      </c>
      <c r="C497" s="1">
        <v>1999.8559948156267</v>
      </c>
      <c r="D497">
        <f t="shared" si="43"/>
        <v>-999.92799740781334</v>
      </c>
      <c r="E497">
        <f t="shared" si="44"/>
        <v>999.92799740781334</v>
      </c>
      <c r="F497" s="7">
        <f t="shared" si="48"/>
        <v>1546744.3225140884</v>
      </c>
      <c r="G497" s="2">
        <f t="shared" si="45"/>
        <v>988</v>
      </c>
      <c r="J497" s="2">
        <v>1999.8559948156267</v>
      </c>
      <c r="K497" s="2">
        <f t="shared" si="46"/>
        <v>-999.92799740781334</v>
      </c>
      <c r="L497" s="2">
        <f t="shared" si="47"/>
        <v>999.92799740781334</v>
      </c>
    </row>
    <row r="498" spans="1:12" x14ac:dyDescent="0.25">
      <c r="A498">
        <v>496</v>
      </c>
      <c r="B498" s="1">
        <v>990</v>
      </c>
      <c r="C498" s="1">
        <v>1999.8999974998751</v>
      </c>
      <c r="D498">
        <f t="shared" si="43"/>
        <v>-999.94999874993755</v>
      </c>
      <c r="E498">
        <f t="shared" si="44"/>
        <v>999.94999874993755</v>
      </c>
      <c r="F498" s="7">
        <f t="shared" si="48"/>
        <v>1550744.0785064038</v>
      </c>
      <c r="G498" s="2">
        <f t="shared" si="45"/>
        <v>990</v>
      </c>
      <c r="J498" s="2">
        <v>1999.8999974998751</v>
      </c>
      <c r="K498" s="2">
        <f t="shared" si="46"/>
        <v>-999.94999874993755</v>
      </c>
      <c r="L498" s="2">
        <f t="shared" si="47"/>
        <v>999.94999874993755</v>
      </c>
    </row>
    <row r="499" spans="1:12" x14ac:dyDescent="0.25">
      <c r="A499">
        <v>497</v>
      </c>
      <c r="B499" s="1">
        <v>992</v>
      </c>
      <c r="C499" s="1">
        <v>1999.9359989759673</v>
      </c>
      <c r="D499">
        <f t="shared" si="43"/>
        <v>-999.96799948798366</v>
      </c>
      <c r="E499">
        <f t="shared" si="44"/>
        <v>999.96799948798366</v>
      </c>
      <c r="F499" s="7">
        <f t="shared" si="48"/>
        <v>1554743.9145028796</v>
      </c>
      <c r="G499" s="2">
        <f t="shared" si="45"/>
        <v>992</v>
      </c>
      <c r="J499" s="2">
        <v>1999.9359989759673</v>
      </c>
      <c r="K499" s="2">
        <f t="shared" si="46"/>
        <v>-999.96799948798366</v>
      </c>
      <c r="L499" s="2">
        <f t="shared" si="47"/>
        <v>999.96799948798366</v>
      </c>
    </row>
    <row r="500" spans="1:12" x14ac:dyDescent="0.25">
      <c r="A500">
        <v>498</v>
      </c>
      <c r="B500" s="1">
        <v>994</v>
      </c>
      <c r="C500" s="1">
        <v>1999.9639996759943</v>
      </c>
      <c r="D500">
        <f t="shared" si="43"/>
        <v>-999.98199983799714</v>
      </c>
      <c r="E500">
        <f t="shared" si="44"/>
        <v>999.98199983799714</v>
      </c>
      <c r="F500" s="7">
        <f t="shared" si="48"/>
        <v>1558743.8145015317</v>
      </c>
      <c r="G500" s="2">
        <f t="shared" si="45"/>
        <v>994</v>
      </c>
      <c r="J500" s="2">
        <v>1999.9639996759943</v>
      </c>
      <c r="K500" s="2">
        <f t="shared" si="46"/>
        <v>-999.98199983799714</v>
      </c>
      <c r="L500" s="2">
        <f t="shared" si="47"/>
        <v>999.98199983799714</v>
      </c>
    </row>
    <row r="501" spans="1:12" x14ac:dyDescent="0.25">
      <c r="A501">
        <v>499</v>
      </c>
      <c r="B501" s="1">
        <v>996</v>
      </c>
      <c r="C501" s="1">
        <v>1999.9839999359995</v>
      </c>
      <c r="D501">
        <f t="shared" si="43"/>
        <v>-999.99199996799973</v>
      </c>
      <c r="E501">
        <f t="shared" si="44"/>
        <v>999.99199996799973</v>
      </c>
      <c r="F501" s="7">
        <f t="shared" si="48"/>
        <v>1562743.7625011436</v>
      </c>
      <c r="G501" s="2">
        <f t="shared" si="45"/>
        <v>996</v>
      </c>
      <c r="J501" s="2">
        <v>1999.9839999359995</v>
      </c>
      <c r="K501" s="2">
        <f t="shared" si="46"/>
        <v>-999.99199996799973</v>
      </c>
      <c r="L501" s="2">
        <f t="shared" si="47"/>
        <v>999.99199996799973</v>
      </c>
    </row>
    <row r="502" spans="1:12" x14ac:dyDescent="0.25">
      <c r="A502">
        <v>500</v>
      </c>
      <c r="B502" s="1">
        <v>998</v>
      </c>
      <c r="C502" s="1">
        <v>1999.9959999959999</v>
      </c>
      <c r="D502">
        <f t="shared" si="43"/>
        <v>-999.99799999799995</v>
      </c>
      <c r="E502">
        <f t="shared" si="44"/>
        <v>999.99799999799995</v>
      </c>
      <c r="F502" s="7">
        <f t="shared" si="48"/>
        <v>1566743.7425010756</v>
      </c>
      <c r="G502" s="2">
        <f t="shared" si="45"/>
        <v>998</v>
      </c>
      <c r="J502" s="2">
        <v>1999.9959999959999</v>
      </c>
      <c r="K502" s="2">
        <f t="shared" si="46"/>
        <v>-999.99799999799995</v>
      </c>
      <c r="L502" s="2">
        <f t="shared" si="47"/>
        <v>999.99799999799995</v>
      </c>
    </row>
    <row r="503" spans="1:12" x14ac:dyDescent="0.25">
      <c r="A503">
        <v>501</v>
      </c>
      <c r="B503" s="1">
        <v>1000</v>
      </c>
      <c r="C503" s="1">
        <v>2000</v>
      </c>
      <c r="D503">
        <f t="shared" si="43"/>
        <v>-1000</v>
      </c>
      <c r="E503">
        <f t="shared" si="44"/>
        <v>1000</v>
      </c>
      <c r="F503" s="7">
        <f t="shared" si="48"/>
        <v>1570743.7385010717</v>
      </c>
      <c r="G503" s="2">
        <f t="shared" si="45"/>
        <v>1000</v>
      </c>
      <c r="J503" s="2">
        <v>2000</v>
      </c>
      <c r="K503" s="2">
        <f t="shared" si="46"/>
        <v>-1000</v>
      </c>
      <c r="L503" s="2">
        <f t="shared" si="47"/>
        <v>1000</v>
      </c>
    </row>
    <row r="504" spans="1:12" x14ac:dyDescent="0.25">
      <c r="A504">
        <v>502</v>
      </c>
      <c r="B504" s="1">
        <v>1002</v>
      </c>
      <c r="C504" s="1">
        <v>1999.9959999959999</v>
      </c>
      <c r="D504">
        <f t="shared" si="43"/>
        <v>-999.99799999799995</v>
      </c>
      <c r="E504">
        <f t="shared" si="44"/>
        <v>999.99799999799995</v>
      </c>
      <c r="F504" s="7">
        <f t="shared" si="48"/>
        <v>1574743.7345010678</v>
      </c>
      <c r="G504" s="2">
        <f t="shared" si="45"/>
        <v>1002</v>
      </c>
      <c r="J504" s="2">
        <v>1999.9959999959999</v>
      </c>
      <c r="K504" s="2">
        <f t="shared" si="46"/>
        <v>-999.99799999799995</v>
      </c>
      <c r="L504" s="2">
        <f t="shared" si="47"/>
        <v>999.99799999799995</v>
      </c>
    </row>
    <row r="505" spans="1:12" x14ac:dyDescent="0.25">
      <c r="A505">
        <v>503</v>
      </c>
      <c r="B505" s="1">
        <v>1004</v>
      </c>
      <c r="C505" s="1">
        <v>1999.9839999359995</v>
      </c>
      <c r="D505">
        <f t="shared" si="43"/>
        <v>-999.99199996799973</v>
      </c>
      <c r="E505">
        <f t="shared" si="44"/>
        <v>999.99199996799973</v>
      </c>
      <c r="F505" s="7">
        <f t="shared" si="48"/>
        <v>1578743.7145009998</v>
      </c>
      <c r="G505" s="2">
        <f t="shared" si="45"/>
        <v>1004</v>
      </c>
      <c r="J505" s="2">
        <v>1999.9839999359995</v>
      </c>
      <c r="K505" s="2">
        <f t="shared" si="46"/>
        <v>-999.99199996799973</v>
      </c>
      <c r="L505" s="2">
        <f t="shared" si="47"/>
        <v>999.99199996799973</v>
      </c>
    </row>
    <row r="506" spans="1:12" x14ac:dyDescent="0.25">
      <c r="A506">
        <v>504</v>
      </c>
      <c r="B506" s="1">
        <v>1006</v>
      </c>
      <c r="C506" s="1">
        <v>1999.9639996759943</v>
      </c>
      <c r="D506">
        <f t="shared" si="43"/>
        <v>-999.98199983799714</v>
      </c>
      <c r="E506">
        <f t="shared" si="44"/>
        <v>999.98199983799714</v>
      </c>
      <c r="F506" s="7">
        <f t="shared" si="48"/>
        <v>1582743.6625006117</v>
      </c>
      <c r="G506" s="2">
        <f t="shared" si="45"/>
        <v>1006</v>
      </c>
      <c r="J506" s="2">
        <v>1999.9639996759943</v>
      </c>
      <c r="K506" s="2">
        <f t="shared" si="46"/>
        <v>-999.98199983799714</v>
      </c>
      <c r="L506" s="2">
        <f t="shared" si="47"/>
        <v>999.98199983799714</v>
      </c>
    </row>
    <row r="507" spans="1:12" x14ac:dyDescent="0.25">
      <c r="A507">
        <v>505</v>
      </c>
      <c r="B507" s="1">
        <v>1008</v>
      </c>
      <c r="C507" s="1">
        <v>1999.9359989759673</v>
      </c>
      <c r="D507">
        <f t="shared" si="43"/>
        <v>-999.96799948798366</v>
      </c>
      <c r="E507">
        <f t="shared" si="44"/>
        <v>999.96799948798366</v>
      </c>
      <c r="F507" s="7">
        <f t="shared" si="48"/>
        <v>1586743.5624992638</v>
      </c>
      <c r="G507" s="2">
        <f t="shared" si="45"/>
        <v>1008</v>
      </c>
      <c r="J507" s="2">
        <v>1999.9359989759673</v>
      </c>
      <c r="K507" s="2">
        <f t="shared" si="46"/>
        <v>-999.96799948798366</v>
      </c>
      <c r="L507" s="2">
        <f t="shared" si="47"/>
        <v>999.96799948798366</v>
      </c>
    </row>
    <row r="508" spans="1:12" x14ac:dyDescent="0.25">
      <c r="A508">
        <v>506</v>
      </c>
      <c r="B508" s="1">
        <v>1010</v>
      </c>
      <c r="C508" s="1">
        <v>1999.8999974998751</v>
      </c>
      <c r="D508">
        <f t="shared" si="43"/>
        <v>-999.94999874993755</v>
      </c>
      <c r="E508">
        <f t="shared" si="44"/>
        <v>999.94999874993755</v>
      </c>
      <c r="F508" s="7">
        <f t="shared" si="48"/>
        <v>1590743.3984957396</v>
      </c>
      <c r="G508" s="2">
        <f t="shared" si="45"/>
        <v>1010</v>
      </c>
      <c r="J508" s="2">
        <v>1999.8999974998751</v>
      </c>
      <c r="K508" s="2">
        <f t="shared" si="46"/>
        <v>-999.94999874993755</v>
      </c>
      <c r="L508" s="2">
        <f t="shared" si="47"/>
        <v>999.94999874993755</v>
      </c>
    </row>
    <row r="509" spans="1:12" x14ac:dyDescent="0.25">
      <c r="A509">
        <v>507</v>
      </c>
      <c r="B509" s="1">
        <v>1012</v>
      </c>
      <c r="C509" s="1">
        <v>1999.8559948156267</v>
      </c>
      <c r="D509">
        <f t="shared" si="43"/>
        <v>-999.92799740781334</v>
      </c>
      <c r="E509">
        <f t="shared" si="44"/>
        <v>999.92799740781334</v>
      </c>
      <c r="F509" s="7">
        <f t="shared" si="48"/>
        <v>1594743.154488055</v>
      </c>
      <c r="G509" s="2">
        <f t="shared" si="45"/>
        <v>1012</v>
      </c>
      <c r="J509" s="2">
        <v>1999.8559948156267</v>
      </c>
      <c r="K509" s="2">
        <f t="shared" si="46"/>
        <v>-999.92799740781334</v>
      </c>
      <c r="L509" s="2">
        <f t="shared" si="47"/>
        <v>999.92799740781334</v>
      </c>
    </row>
    <row r="510" spans="1:12" x14ac:dyDescent="0.25">
      <c r="A510">
        <v>508</v>
      </c>
      <c r="B510" s="1">
        <v>1014</v>
      </c>
      <c r="C510" s="1">
        <v>1999.8039903950587</v>
      </c>
      <c r="D510">
        <f t="shared" si="43"/>
        <v>-999.90199519752935</v>
      </c>
      <c r="E510">
        <f t="shared" si="44"/>
        <v>999.90199519752935</v>
      </c>
      <c r="F510" s="7">
        <f t="shared" si="48"/>
        <v>1598742.8144732658</v>
      </c>
      <c r="G510" s="2">
        <f t="shared" si="45"/>
        <v>1014</v>
      </c>
      <c r="J510" s="2">
        <v>1999.8039903950587</v>
      </c>
      <c r="K510" s="2">
        <f t="shared" si="46"/>
        <v>-999.90199519752935</v>
      </c>
      <c r="L510" s="2">
        <f t="shared" si="47"/>
        <v>999.90199519752935</v>
      </c>
    </row>
    <row r="511" spans="1:12" x14ac:dyDescent="0.25">
      <c r="A511">
        <v>509</v>
      </c>
      <c r="B511" s="1">
        <v>1016</v>
      </c>
      <c r="C511" s="1">
        <v>1999.7439836139024</v>
      </c>
      <c r="D511">
        <f t="shared" si="43"/>
        <v>-999.8719918069512</v>
      </c>
      <c r="E511">
        <f t="shared" si="44"/>
        <v>999.8719918069512</v>
      </c>
      <c r="F511" s="7">
        <f t="shared" si="48"/>
        <v>1602742.3624472748</v>
      </c>
      <c r="G511" s="2">
        <f t="shared" si="45"/>
        <v>1016</v>
      </c>
      <c r="J511" s="2">
        <v>1999.7439836139024</v>
      </c>
      <c r="K511" s="2">
        <f t="shared" si="46"/>
        <v>-999.8719918069512</v>
      </c>
      <c r="L511" s="2">
        <f t="shared" si="47"/>
        <v>999.8719918069512</v>
      </c>
    </row>
    <row r="512" spans="1:12" x14ac:dyDescent="0.25">
      <c r="A512">
        <v>510</v>
      </c>
      <c r="B512" s="1">
        <v>1018</v>
      </c>
      <c r="C512" s="1">
        <v>1999.6759737517475</v>
      </c>
      <c r="D512">
        <f t="shared" si="43"/>
        <v>-999.83798687587375</v>
      </c>
      <c r="E512">
        <f t="shared" si="44"/>
        <v>999.83798687587375</v>
      </c>
      <c r="F512" s="7">
        <f t="shared" si="48"/>
        <v>1606741.7824046405</v>
      </c>
      <c r="G512" s="2">
        <f t="shared" si="45"/>
        <v>1018</v>
      </c>
      <c r="J512" s="2">
        <v>1999.6759737517475</v>
      </c>
      <c r="K512" s="2">
        <f t="shared" si="46"/>
        <v>-999.83798687587375</v>
      </c>
      <c r="L512" s="2">
        <f t="shared" si="47"/>
        <v>999.83798687587375</v>
      </c>
    </row>
    <row r="513" spans="1:12" x14ac:dyDescent="0.25">
      <c r="A513">
        <v>511</v>
      </c>
      <c r="B513" s="1">
        <v>1020</v>
      </c>
      <c r="C513" s="1">
        <v>1999.599959991998</v>
      </c>
      <c r="D513">
        <f t="shared" si="43"/>
        <v>-999.79997999599902</v>
      </c>
      <c r="E513">
        <f t="shared" si="44"/>
        <v>999.79997999599902</v>
      </c>
      <c r="F513" s="7">
        <f t="shared" si="48"/>
        <v>1610741.0583383841</v>
      </c>
      <c r="G513" s="2">
        <f t="shared" si="45"/>
        <v>1020</v>
      </c>
      <c r="J513" s="2">
        <v>1999.599959991998</v>
      </c>
      <c r="K513" s="2">
        <f t="shared" si="46"/>
        <v>-999.79997999599902</v>
      </c>
      <c r="L513" s="2">
        <f t="shared" si="47"/>
        <v>999.79997999599902</v>
      </c>
    </row>
    <row r="514" spans="1:12" x14ac:dyDescent="0.25">
      <c r="A514">
        <v>512</v>
      </c>
      <c r="B514" s="1">
        <v>1022</v>
      </c>
      <c r="C514" s="1">
        <v>1999.5159414218233</v>
      </c>
      <c r="D514">
        <f t="shared" si="43"/>
        <v>-999.75797071091165</v>
      </c>
      <c r="E514">
        <f t="shared" si="44"/>
        <v>999.75797071091165</v>
      </c>
      <c r="F514" s="7">
        <f t="shared" si="48"/>
        <v>1614740.174239798</v>
      </c>
      <c r="G514" s="2">
        <f t="shared" si="45"/>
        <v>1022</v>
      </c>
      <c r="J514" s="2">
        <v>1999.5159414218233</v>
      </c>
      <c r="K514" s="2">
        <f t="shared" si="46"/>
        <v>-999.75797071091165</v>
      </c>
      <c r="L514" s="2">
        <f t="shared" si="47"/>
        <v>999.75797071091165</v>
      </c>
    </row>
    <row r="515" spans="1:12" x14ac:dyDescent="0.25">
      <c r="A515">
        <v>513</v>
      </c>
      <c r="B515" s="1">
        <v>1024</v>
      </c>
      <c r="C515" s="1">
        <v>1999.4239170321034</v>
      </c>
      <c r="D515">
        <f t="shared" si="43"/>
        <v>-999.71195851605171</v>
      </c>
      <c r="E515">
        <f t="shared" si="44"/>
        <v>999.71195851605171</v>
      </c>
      <c r="F515" s="7">
        <f t="shared" si="48"/>
        <v>1618739.1140982518</v>
      </c>
      <c r="G515" s="2">
        <f t="shared" si="45"/>
        <v>1024</v>
      </c>
      <c r="J515" s="2">
        <v>1999.4239170321034</v>
      </c>
      <c r="K515" s="2">
        <f t="shared" si="46"/>
        <v>-999.71195851605171</v>
      </c>
      <c r="L515" s="2">
        <f t="shared" si="47"/>
        <v>999.71195851605171</v>
      </c>
    </row>
    <row r="516" spans="1:12" x14ac:dyDescent="0.25">
      <c r="A516">
        <v>514</v>
      </c>
      <c r="B516" s="1">
        <v>1026</v>
      </c>
      <c r="C516" s="1">
        <v>1999.3238857173692</v>
      </c>
      <c r="D516">
        <f t="shared" ref="D516:D579" si="49">IF(A516&lt;=COUNT(B:B),-1*C516/2,NA())</f>
        <v>-999.6619428586846</v>
      </c>
      <c r="E516">
        <f t="shared" ref="E516:E579" si="50">IF(A516&lt;=COUNT(B:B),C516/2,NA())</f>
        <v>999.6619428586846</v>
      </c>
      <c r="F516" s="7">
        <f t="shared" si="48"/>
        <v>1622737.8619010013</v>
      </c>
      <c r="G516" s="2">
        <f t="shared" ref="G516:G579" si="51">B516-$B$3</f>
        <v>1026</v>
      </c>
      <c r="J516" s="2">
        <v>1999.3238857173692</v>
      </c>
      <c r="K516" s="2">
        <f t="shared" ref="K516:K579" si="52">IF(A516&lt;=COUNT(B:B),$J516/2*-1,NA())</f>
        <v>-999.6619428586846</v>
      </c>
      <c r="L516" s="2">
        <f t="shared" ref="L516:L579" si="53">IF(A516&lt;=COUNT(B:B),$J516/2,NA())</f>
        <v>999.6619428586846</v>
      </c>
    </row>
    <row r="517" spans="1:12" x14ac:dyDescent="0.25">
      <c r="A517">
        <v>515</v>
      </c>
      <c r="B517" s="1">
        <v>1028</v>
      </c>
      <c r="C517" s="1">
        <v>1999.2158462757343</v>
      </c>
      <c r="D517">
        <f t="shared" si="49"/>
        <v>-999.60792313786715</v>
      </c>
      <c r="E517">
        <f t="shared" si="50"/>
        <v>999.60792313786715</v>
      </c>
      <c r="F517" s="7">
        <f t="shared" ref="F517:F580" si="54">IF(A516&lt;COUNT(B:B),(($C517+$C516)*(B517-B516)/2)+F516,"")</f>
        <v>1626736.4016329944</v>
      </c>
      <c r="G517" s="2">
        <f t="shared" si="51"/>
        <v>1028</v>
      </c>
      <c r="J517" s="2">
        <v>1999.2158462757343</v>
      </c>
      <c r="K517" s="2">
        <f t="shared" si="52"/>
        <v>-999.60792313786715</v>
      </c>
      <c r="L517" s="2">
        <f t="shared" si="53"/>
        <v>999.60792313786715</v>
      </c>
    </row>
    <row r="518" spans="1:12" x14ac:dyDescent="0.25">
      <c r="A518">
        <v>516</v>
      </c>
      <c r="B518" s="1">
        <v>1030</v>
      </c>
      <c r="C518" s="1">
        <v>1999.0997974088236</v>
      </c>
      <c r="D518">
        <f t="shared" si="49"/>
        <v>-999.54989870441182</v>
      </c>
      <c r="E518">
        <f t="shared" si="50"/>
        <v>999.54989870441182</v>
      </c>
      <c r="F518" s="7">
        <f t="shared" si="54"/>
        <v>1630734.7172766789</v>
      </c>
      <c r="G518" s="2">
        <f t="shared" si="51"/>
        <v>1030</v>
      </c>
      <c r="J518" s="2">
        <v>1999.0997974088236</v>
      </c>
      <c r="K518" s="2">
        <f t="shared" si="52"/>
        <v>-999.54989870441182</v>
      </c>
      <c r="L518" s="2">
        <f t="shared" si="53"/>
        <v>999.54989870441182</v>
      </c>
    </row>
    <row r="519" spans="1:12" x14ac:dyDescent="0.25">
      <c r="A519">
        <v>517</v>
      </c>
      <c r="B519" s="1">
        <v>1032</v>
      </c>
      <c r="C519" s="1">
        <v>1998.9757377216963</v>
      </c>
      <c r="D519">
        <f t="shared" si="49"/>
        <v>-999.48786886084815</v>
      </c>
      <c r="E519">
        <f t="shared" si="50"/>
        <v>999.48786886084815</v>
      </c>
      <c r="F519" s="7">
        <f t="shared" si="54"/>
        <v>1634732.7928118093</v>
      </c>
      <c r="G519" s="2">
        <f t="shared" si="51"/>
        <v>1032</v>
      </c>
      <c r="J519" s="2">
        <v>1998.9757377216963</v>
      </c>
      <c r="K519" s="2">
        <f t="shared" si="52"/>
        <v>-999.48786886084815</v>
      </c>
      <c r="L519" s="2">
        <f t="shared" si="53"/>
        <v>999.48786886084815</v>
      </c>
    </row>
    <row r="520" spans="1:12" x14ac:dyDescent="0.25">
      <c r="A520">
        <v>518</v>
      </c>
      <c r="B520" s="1">
        <v>1034</v>
      </c>
      <c r="C520" s="1">
        <v>1998.8436657227599</v>
      </c>
      <c r="D520">
        <f t="shared" si="49"/>
        <v>-999.42183286137993</v>
      </c>
      <c r="E520">
        <f t="shared" si="50"/>
        <v>999.42183286137993</v>
      </c>
      <c r="F520" s="7">
        <f t="shared" si="54"/>
        <v>1638730.6122152538</v>
      </c>
      <c r="G520" s="2">
        <f t="shared" si="51"/>
        <v>1034</v>
      </c>
      <c r="J520" s="2">
        <v>1998.8436657227599</v>
      </c>
      <c r="K520" s="2">
        <f t="shared" si="52"/>
        <v>-999.42183286137993</v>
      </c>
      <c r="L520" s="2">
        <f t="shared" si="53"/>
        <v>999.42183286137993</v>
      </c>
    </row>
    <row r="521" spans="1:12" x14ac:dyDescent="0.25">
      <c r="A521">
        <v>519</v>
      </c>
      <c r="B521" s="1">
        <v>1036</v>
      </c>
      <c r="C521" s="1">
        <v>1998.7035798236816</v>
      </c>
      <c r="D521">
        <f t="shared" si="49"/>
        <v>-999.3517899118408</v>
      </c>
      <c r="E521">
        <f t="shared" si="50"/>
        <v>999.3517899118408</v>
      </c>
      <c r="F521" s="7">
        <f t="shared" si="54"/>
        <v>1642728.1594608002</v>
      </c>
      <c r="G521" s="2">
        <f t="shared" si="51"/>
        <v>1036</v>
      </c>
      <c r="J521" s="2">
        <v>1998.7035798236816</v>
      </c>
      <c r="K521" s="2">
        <f t="shared" si="52"/>
        <v>-999.3517899118408</v>
      </c>
      <c r="L521" s="2">
        <f t="shared" si="53"/>
        <v>999.3517899118408</v>
      </c>
    </row>
    <row r="522" spans="1:12" x14ac:dyDescent="0.25">
      <c r="A522">
        <v>520</v>
      </c>
      <c r="B522" s="1">
        <v>1038</v>
      </c>
      <c r="C522" s="1">
        <v>1998.5554783392929</v>
      </c>
      <c r="D522">
        <f t="shared" si="49"/>
        <v>-999.27773916964645</v>
      </c>
      <c r="E522">
        <f t="shared" si="50"/>
        <v>999.27773916964645</v>
      </c>
      <c r="F522" s="7">
        <f t="shared" si="54"/>
        <v>1646725.4185189633</v>
      </c>
      <c r="G522" s="2">
        <f t="shared" si="51"/>
        <v>1038</v>
      </c>
      <c r="J522" s="2">
        <v>1998.5554783392929</v>
      </c>
      <c r="K522" s="2">
        <f t="shared" si="52"/>
        <v>-999.27773916964645</v>
      </c>
      <c r="L522" s="2">
        <f t="shared" si="53"/>
        <v>999.27773916964645</v>
      </c>
    </row>
    <row r="523" spans="1:12" x14ac:dyDescent="0.25">
      <c r="A523">
        <v>521</v>
      </c>
      <c r="B523" s="1">
        <v>1040</v>
      </c>
      <c r="C523" s="1">
        <v>1998.3993594874873</v>
      </c>
      <c r="D523">
        <f t="shared" si="49"/>
        <v>-999.19967974374367</v>
      </c>
      <c r="E523">
        <f t="shared" si="50"/>
        <v>999.19967974374367</v>
      </c>
      <c r="F523" s="7">
        <f t="shared" si="54"/>
        <v>1650722.37335679</v>
      </c>
      <c r="G523" s="2">
        <f t="shared" si="51"/>
        <v>1040</v>
      </c>
      <c r="J523" s="2">
        <v>1998.3993594874873</v>
      </c>
      <c r="K523" s="2">
        <f t="shared" si="52"/>
        <v>-999.19967974374367</v>
      </c>
      <c r="L523" s="2">
        <f t="shared" si="53"/>
        <v>999.19967974374367</v>
      </c>
    </row>
    <row r="524" spans="1:12" x14ac:dyDescent="0.25">
      <c r="A524">
        <v>522</v>
      </c>
      <c r="B524" s="1">
        <v>1042</v>
      </c>
      <c r="C524" s="1">
        <v>1998.2352213891136</v>
      </c>
      <c r="D524">
        <f t="shared" si="49"/>
        <v>-999.11761069455679</v>
      </c>
      <c r="E524">
        <f t="shared" si="50"/>
        <v>999.11761069455679</v>
      </c>
      <c r="F524" s="7">
        <f t="shared" si="54"/>
        <v>1654719.0079376667</v>
      </c>
      <c r="G524" s="2">
        <f t="shared" si="51"/>
        <v>1042</v>
      </c>
      <c r="J524" s="2">
        <v>1998.2352213891136</v>
      </c>
      <c r="K524" s="2">
        <f t="shared" si="52"/>
        <v>-999.11761069455679</v>
      </c>
      <c r="L524" s="2">
        <f t="shared" si="53"/>
        <v>999.11761069455679</v>
      </c>
    </row>
    <row r="525" spans="1:12" x14ac:dyDescent="0.25">
      <c r="A525">
        <v>523</v>
      </c>
      <c r="B525" s="1">
        <v>1044</v>
      </c>
      <c r="C525" s="1">
        <v>1998.0630620678617</v>
      </c>
      <c r="D525">
        <f t="shared" si="49"/>
        <v>-999.03153103393083</v>
      </c>
      <c r="E525">
        <f t="shared" si="50"/>
        <v>999.03153103393083</v>
      </c>
      <c r="F525" s="7">
        <f t="shared" si="54"/>
        <v>1658715.3062211238</v>
      </c>
      <c r="G525" s="2">
        <f t="shared" si="51"/>
        <v>1044</v>
      </c>
      <c r="J525" s="2">
        <v>1998.0630620678617</v>
      </c>
      <c r="K525" s="2">
        <f t="shared" si="52"/>
        <v>-999.03153103393083</v>
      </c>
      <c r="L525" s="2">
        <f t="shared" si="53"/>
        <v>999.03153103393083</v>
      </c>
    </row>
    <row r="526" spans="1:12" x14ac:dyDescent="0.25">
      <c r="A526">
        <v>524</v>
      </c>
      <c r="B526" s="1">
        <v>1046</v>
      </c>
      <c r="C526" s="1">
        <v>1997.8828794501444</v>
      </c>
      <c r="D526">
        <f t="shared" si="49"/>
        <v>-998.9414397250722</v>
      </c>
      <c r="E526">
        <f t="shared" si="50"/>
        <v>998.9414397250722</v>
      </c>
      <c r="F526" s="7">
        <f t="shared" si="54"/>
        <v>1662711.2521626418</v>
      </c>
      <c r="G526" s="2">
        <f t="shared" si="51"/>
        <v>1046</v>
      </c>
      <c r="J526" s="2">
        <v>1997.8828794501444</v>
      </c>
      <c r="K526" s="2">
        <f t="shared" si="52"/>
        <v>-998.9414397250722</v>
      </c>
      <c r="L526" s="2">
        <f t="shared" si="53"/>
        <v>998.9414397250722</v>
      </c>
    </row>
    <row r="527" spans="1:12" x14ac:dyDescent="0.25">
      <c r="A527">
        <v>525</v>
      </c>
      <c r="B527" s="1">
        <v>1048</v>
      </c>
      <c r="C527" s="1">
        <v>1997.6946713649711</v>
      </c>
      <c r="D527">
        <f t="shared" si="49"/>
        <v>-998.84733568248555</v>
      </c>
      <c r="E527">
        <f t="shared" si="50"/>
        <v>998.84733568248555</v>
      </c>
      <c r="F527" s="7">
        <f t="shared" si="54"/>
        <v>1666706.829713457</v>
      </c>
      <c r="G527" s="2">
        <f t="shared" si="51"/>
        <v>1048</v>
      </c>
      <c r="J527" s="2">
        <v>1997.6946713649711</v>
      </c>
      <c r="K527" s="2">
        <f t="shared" si="52"/>
        <v>-998.84733568248555</v>
      </c>
      <c r="L527" s="2">
        <f t="shared" si="53"/>
        <v>998.84733568248555</v>
      </c>
    </row>
    <row r="528" spans="1:12" x14ac:dyDescent="0.25">
      <c r="A528">
        <v>526</v>
      </c>
      <c r="B528" s="1">
        <v>1050</v>
      </c>
      <c r="C528" s="1">
        <v>1997.498435543818</v>
      </c>
      <c r="D528">
        <f t="shared" si="49"/>
        <v>-998.749217771909</v>
      </c>
      <c r="E528">
        <f t="shared" si="50"/>
        <v>998.749217771909</v>
      </c>
      <c r="F528" s="7">
        <f t="shared" si="54"/>
        <v>1670702.0228203658</v>
      </c>
      <c r="G528" s="2">
        <f t="shared" si="51"/>
        <v>1050</v>
      </c>
      <c r="J528" s="2">
        <v>1997.498435543818</v>
      </c>
      <c r="K528" s="2">
        <f t="shared" si="52"/>
        <v>-998.749217771909</v>
      </c>
      <c r="L528" s="2">
        <f t="shared" si="53"/>
        <v>998.749217771909</v>
      </c>
    </row>
    <row r="529" spans="1:12" x14ac:dyDescent="0.25">
      <c r="A529">
        <v>527</v>
      </c>
      <c r="B529" s="1">
        <v>1052</v>
      </c>
      <c r="C529" s="1">
        <v>1997.2941696204894</v>
      </c>
      <c r="D529">
        <f t="shared" si="49"/>
        <v>-998.64708481024468</v>
      </c>
      <c r="E529">
        <f t="shared" si="50"/>
        <v>998.64708481024468</v>
      </c>
      <c r="F529" s="7">
        <f t="shared" si="54"/>
        <v>1674696.8154255301</v>
      </c>
      <c r="G529" s="2">
        <f t="shared" si="51"/>
        <v>1052</v>
      </c>
      <c r="J529" s="2">
        <v>1997.2941696204894</v>
      </c>
      <c r="K529" s="2">
        <f t="shared" si="52"/>
        <v>-998.64708481024468</v>
      </c>
      <c r="L529" s="2">
        <f t="shared" si="53"/>
        <v>998.64708481024468</v>
      </c>
    </row>
    <row r="530" spans="1:12" x14ac:dyDescent="0.25">
      <c r="A530">
        <v>528</v>
      </c>
      <c r="B530" s="1">
        <v>1054</v>
      </c>
      <c r="C530" s="1">
        <v>1997.081871130976</v>
      </c>
      <c r="D530">
        <f t="shared" si="49"/>
        <v>-998.54093556548798</v>
      </c>
      <c r="E530">
        <f t="shared" si="50"/>
        <v>998.54093556548798</v>
      </c>
      <c r="F530" s="7">
        <f t="shared" si="54"/>
        <v>1678691.1914662817</v>
      </c>
      <c r="G530" s="2">
        <f t="shared" si="51"/>
        <v>1054</v>
      </c>
      <c r="J530" s="2">
        <v>1997.081871130976</v>
      </c>
      <c r="K530" s="2">
        <f t="shared" si="52"/>
        <v>-998.54093556548798</v>
      </c>
      <c r="L530" s="2">
        <f t="shared" si="53"/>
        <v>998.54093556548798</v>
      </c>
    </row>
    <row r="531" spans="1:12" x14ac:dyDescent="0.25">
      <c r="A531">
        <v>529</v>
      </c>
      <c r="B531" s="1">
        <v>1056</v>
      </c>
      <c r="C531" s="1">
        <v>1996.8615375133049</v>
      </c>
      <c r="D531">
        <f t="shared" si="49"/>
        <v>-998.43076875665247</v>
      </c>
      <c r="E531">
        <f t="shared" si="50"/>
        <v>998.43076875665247</v>
      </c>
      <c r="F531" s="7">
        <f t="shared" si="54"/>
        <v>1682685.1348749259</v>
      </c>
      <c r="G531" s="2">
        <f t="shared" si="51"/>
        <v>1056</v>
      </c>
      <c r="J531" s="2">
        <v>1996.8615375133049</v>
      </c>
      <c r="K531" s="2">
        <f t="shared" si="52"/>
        <v>-998.43076875665247</v>
      </c>
      <c r="L531" s="2">
        <f t="shared" si="53"/>
        <v>998.43076875665247</v>
      </c>
    </row>
    <row r="532" spans="1:12" x14ac:dyDescent="0.25">
      <c r="A532">
        <v>530</v>
      </c>
      <c r="B532" s="1">
        <v>1058</v>
      </c>
      <c r="C532" s="1">
        <v>1996.6331661073848</v>
      </c>
      <c r="D532">
        <f t="shared" si="49"/>
        <v>-998.3165830536924</v>
      </c>
      <c r="E532">
        <f t="shared" si="50"/>
        <v>998.3165830536924</v>
      </c>
      <c r="F532" s="7">
        <f t="shared" si="54"/>
        <v>1686678.6295785466</v>
      </c>
      <c r="G532" s="2">
        <f t="shared" si="51"/>
        <v>1058</v>
      </c>
      <c r="J532" s="2">
        <v>1996.6331661073848</v>
      </c>
      <c r="K532" s="2">
        <f t="shared" si="52"/>
        <v>-998.3165830536924</v>
      </c>
      <c r="L532" s="2">
        <f t="shared" si="53"/>
        <v>998.3165830536924</v>
      </c>
    </row>
    <row r="533" spans="1:12" x14ac:dyDescent="0.25">
      <c r="A533">
        <v>531</v>
      </c>
      <c r="B533" s="1">
        <v>1060</v>
      </c>
      <c r="C533" s="1">
        <v>1996.3967541548448</v>
      </c>
      <c r="D533">
        <f t="shared" si="49"/>
        <v>-998.19837707742238</v>
      </c>
      <c r="E533">
        <f t="shared" si="50"/>
        <v>998.19837707742238</v>
      </c>
      <c r="F533" s="7">
        <f t="shared" si="54"/>
        <v>1690671.6594988089</v>
      </c>
      <c r="G533" s="2">
        <f t="shared" si="51"/>
        <v>1060</v>
      </c>
      <c r="J533" s="2">
        <v>1996.3967541548448</v>
      </c>
      <c r="K533" s="2">
        <f t="shared" si="52"/>
        <v>-998.19837707742238</v>
      </c>
      <c r="L533" s="2">
        <f t="shared" si="53"/>
        <v>998.19837707742238</v>
      </c>
    </row>
    <row r="534" spans="1:12" x14ac:dyDescent="0.25">
      <c r="A534">
        <v>532</v>
      </c>
      <c r="B534" s="1">
        <v>1062</v>
      </c>
      <c r="C534" s="1">
        <v>1996.1522987988667</v>
      </c>
      <c r="D534">
        <f t="shared" si="49"/>
        <v>-998.07614939943335</v>
      </c>
      <c r="E534">
        <f t="shared" si="50"/>
        <v>998.07614939943335</v>
      </c>
      <c r="F534" s="7">
        <f t="shared" si="54"/>
        <v>1694664.2085517626</v>
      </c>
      <c r="G534" s="2">
        <f t="shared" si="51"/>
        <v>1062</v>
      </c>
      <c r="J534" s="2">
        <v>1996.1522987988667</v>
      </c>
      <c r="K534" s="2">
        <f t="shared" si="52"/>
        <v>-998.07614939943335</v>
      </c>
      <c r="L534" s="2">
        <f t="shared" si="53"/>
        <v>998.07614939943335</v>
      </c>
    </row>
    <row r="535" spans="1:12" x14ac:dyDescent="0.25">
      <c r="A535">
        <v>533</v>
      </c>
      <c r="B535" s="1">
        <v>1064</v>
      </c>
      <c r="C535" s="1">
        <v>1995.8997970840119</v>
      </c>
      <c r="D535">
        <f t="shared" si="49"/>
        <v>-997.94989854200594</v>
      </c>
      <c r="E535">
        <f t="shared" si="50"/>
        <v>997.94989854200594</v>
      </c>
      <c r="F535" s="7">
        <f t="shared" si="54"/>
        <v>1698656.2606476455</v>
      </c>
      <c r="G535" s="2">
        <f t="shared" si="51"/>
        <v>1064</v>
      </c>
      <c r="J535" s="2">
        <v>1995.8997970840119</v>
      </c>
      <c r="K535" s="2">
        <f t="shared" si="52"/>
        <v>-997.94989854200594</v>
      </c>
      <c r="L535" s="2">
        <f t="shared" si="53"/>
        <v>997.94989854200594</v>
      </c>
    </row>
    <row r="536" spans="1:12" x14ac:dyDescent="0.25">
      <c r="A536">
        <v>534</v>
      </c>
      <c r="B536" s="1">
        <v>1066</v>
      </c>
      <c r="C536" s="1">
        <v>1995.639245956042</v>
      </c>
      <c r="D536">
        <f t="shared" si="49"/>
        <v>-997.81962297802102</v>
      </c>
      <c r="E536">
        <f t="shared" si="50"/>
        <v>997.81962297802102</v>
      </c>
      <c r="F536" s="7">
        <f t="shared" si="54"/>
        <v>1702647.7996906855</v>
      </c>
      <c r="G536" s="2">
        <f t="shared" si="51"/>
        <v>1066</v>
      </c>
      <c r="J536" s="2">
        <v>1995.639245956042</v>
      </c>
      <c r="K536" s="2">
        <f t="shared" si="52"/>
        <v>-997.81962297802102</v>
      </c>
      <c r="L536" s="2">
        <f t="shared" si="53"/>
        <v>997.81962297802102</v>
      </c>
    </row>
    <row r="537" spans="1:12" x14ac:dyDescent="0.25">
      <c r="A537">
        <v>535</v>
      </c>
      <c r="B537" s="1">
        <v>1068</v>
      </c>
      <c r="C537" s="1">
        <v>1995.3706422617329</v>
      </c>
      <c r="D537">
        <f t="shared" si="49"/>
        <v>-997.68532113086644</v>
      </c>
      <c r="E537">
        <f t="shared" si="50"/>
        <v>997.68532113086644</v>
      </c>
      <c r="F537" s="7">
        <f t="shared" si="54"/>
        <v>1706638.8095789033</v>
      </c>
      <c r="G537" s="2">
        <f t="shared" si="51"/>
        <v>1068</v>
      </c>
      <c r="J537" s="2">
        <v>1995.3706422617329</v>
      </c>
      <c r="K537" s="2">
        <f t="shared" si="52"/>
        <v>-997.68532113086644</v>
      </c>
      <c r="L537" s="2">
        <f t="shared" si="53"/>
        <v>997.68532113086644</v>
      </c>
    </row>
    <row r="538" spans="1:12" x14ac:dyDescent="0.25">
      <c r="A538">
        <v>536</v>
      </c>
      <c r="B538" s="1">
        <v>1070</v>
      </c>
      <c r="C538" s="1">
        <v>1995.0939827486825</v>
      </c>
      <c r="D538">
        <f t="shared" si="49"/>
        <v>-997.54699137434125</v>
      </c>
      <c r="E538">
        <f t="shared" si="50"/>
        <v>997.54699137434125</v>
      </c>
      <c r="F538" s="7">
        <f t="shared" si="54"/>
        <v>1710629.2742039138</v>
      </c>
      <c r="G538" s="2">
        <f t="shared" si="51"/>
        <v>1070</v>
      </c>
      <c r="J538" s="2">
        <v>1995.0939827486825</v>
      </c>
      <c r="K538" s="2">
        <f t="shared" si="52"/>
        <v>-997.54699137434125</v>
      </c>
      <c r="L538" s="2">
        <f t="shared" si="53"/>
        <v>997.54699137434125</v>
      </c>
    </row>
    <row r="539" spans="1:12" x14ac:dyDescent="0.25">
      <c r="A539">
        <v>537</v>
      </c>
      <c r="B539" s="1">
        <v>1072</v>
      </c>
      <c r="C539" s="1">
        <v>1994.8092640651137</v>
      </c>
      <c r="D539">
        <f t="shared" si="49"/>
        <v>-997.40463203255683</v>
      </c>
      <c r="E539">
        <f t="shared" si="50"/>
        <v>997.40463203255683</v>
      </c>
      <c r="F539" s="7">
        <f t="shared" si="54"/>
        <v>1714619.1774507274</v>
      </c>
      <c r="G539" s="2">
        <f t="shared" si="51"/>
        <v>1072</v>
      </c>
      <c r="J539" s="2">
        <v>1994.8092640651137</v>
      </c>
      <c r="K539" s="2">
        <f t="shared" si="52"/>
        <v>-997.40463203255683</v>
      </c>
      <c r="L539" s="2">
        <f t="shared" si="53"/>
        <v>997.40463203255683</v>
      </c>
    </row>
    <row r="540" spans="1:12" x14ac:dyDescent="0.25">
      <c r="A540">
        <v>538</v>
      </c>
      <c r="B540" s="1">
        <v>1074</v>
      </c>
      <c r="C540" s="1">
        <v>1994.5164827596689</v>
      </c>
      <c r="D540">
        <f t="shared" si="49"/>
        <v>-997.25824137983443</v>
      </c>
      <c r="E540">
        <f t="shared" si="50"/>
        <v>997.25824137983443</v>
      </c>
      <c r="F540" s="7">
        <f t="shared" si="54"/>
        <v>1718608.5031975522</v>
      </c>
      <c r="G540" s="2">
        <f t="shared" si="51"/>
        <v>1074</v>
      </c>
      <c r="J540" s="2">
        <v>1994.5164827596689</v>
      </c>
      <c r="K540" s="2">
        <f t="shared" si="52"/>
        <v>-997.25824137983443</v>
      </c>
      <c r="L540" s="2">
        <f t="shared" si="53"/>
        <v>997.25824137983443</v>
      </c>
    </row>
    <row r="541" spans="1:12" x14ac:dyDescent="0.25">
      <c r="A541">
        <v>539</v>
      </c>
      <c r="B541" s="1">
        <v>1076</v>
      </c>
      <c r="C541" s="1">
        <v>1994.2156352811999</v>
      </c>
      <c r="D541">
        <f t="shared" si="49"/>
        <v>-997.10781764059993</v>
      </c>
      <c r="E541">
        <f t="shared" si="50"/>
        <v>997.10781764059993</v>
      </c>
      <c r="F541" s="7">
        <f t="shared" si="54"/>
        <v>1722597.235315593</v>
      </c>
      <c r="G541" s="2">
        <f t="shared" si="51"/>
        <v>1076</v>
      </c>
      <c r="J541" s="2">
        <v>1994.2156352811999</v>
      </c>
      <c r="K541" s="2">
        <f t="shared" si="52"/>
        <v>-997.10781764059993</v>
      </c>
      <c r="L541" s="2">
        <f t="shared" si="53"/>
        <v>997.10781764059993</v>
      </c>
    </row>
    <row r="542" spans="1:12" x14ac:dyDescent="0.25">
      <c r="A542">
        <v>540</v>
      </c>
      <c r="B542" s="1">
        <v>1078</v>
      </c>
      <c r="C542" s="1">
        <v>1993.9067179785518</v>
      </c>
      <c r="D542">
        <f t="shared" si="49"/>
        <v>-996.9533589892759</v>
      </c>
      <c r="E542">
        <f t="shared" si="50"/>
        <v>996.9533589892759</v>
      </c>
      <c r="F542" s="7">
        <f t="shared" si="54"/>
        <v>1726585.3576688527</v>
      </c>
      <c r="G542" s="2">
        <f t="shared" si="51"/>
        <v>1078</v>
      </c>
      <c r="J542" s="2">
        <v>1993.9067179785518</v>
      </c>
      <c r="K542" s="2">
        <f t="shared" si="52"/>
        <v>-996.9533589892759</v>
      </c>
      <c r="L542" s="2">
        <f t="shared" si="53"/>
        <v>996.9533589892759</v>
      </c>
    </row>
    <row r="543" spans="1:12" x14ac:dyDescent="0.25">
      <c r="A543">
        <v>541</v>
      </c>
      <c r="B543" s="1">
        <v>1080</v>
      </c>
      <c r="C543" s="1">
        <v>1993.589727100338</v>
      </c>
      <c r="D543">
        <f t="shared" si="49"/>
        <v>-996.794863550169</v>
      </c>
      <c r="E543">
        <f t="shared" si="50"/>
        <v>996.794863550169</v>
      </c>
      <c r="F543" s="7">
        <f t="shared" si="54"/>
        <v>1730572.8541139315</v>
      </c>
      <c r="G543" s="2">
        <f t="shared" si="51"/>
        <v>1080</v>
      </c>
      <c r="J543" s="2">
        <v>1993.589727100338</v>
      </c>
      <c r="K543" s="2">
        <f t="shared" si="52"/>
        <v>-996.794863550169</v>
      </c>
      <c r="L543" s="2">
        <f t="shared" si="53"/>
        <v>996.794863550169</v>
      </c>
    </row>
    <row r="544" spans="1:12" x14ac:dyDescent="0.25">
      <c r="A544">
        <v>542</v>
      </c>
      <c r="B544" s="1">
        <v>1082</v>
      </c>
      <c r="C544" s="1">
        <v>1993.264658794712</v>
      </c>
      <c r="D544">
        <f t="shared" si="49"/>
        <v>-996.63232939735599</v>
      </c>
      <c r="E544">
        <f t="shared" si="50"/>
        <v>996.63232939735599</v>
      </c>
      <c r="F544" s="7">
        <f t="shared" si="54"/>
        <v>1734559.7084998265</v>
      </c>
      <c r="G544" s="2">
        <f t="shared" si="51"/>
        <v>1082</v>
      </c>
      <c r="J544" s="2">
        <v>1993.264658794712</v>
      </c>
      <c r="K544" s="2">
        <f t="shared" si="52"/>
        <v>-996.63232939735599</v>
      </c>
      <c r="L544" s="2">
        <f t="shared" si="53"/>
        <v>996.63232939735599</v>
      </c>
    </row>
    <row r="545" spans="1:12" x14ac:dyDescent="0.25">
      <c r="A545">
        <v>543</v>
      </c>
      <c r="B545" s="1">
        <v>1084</v>
      </c>
      <c r="C545" s="1">
        <v>1992.9315091091314</v>
      </c>
      <c r="D545">
        <f t="shared" si="49"/>
        <v>-996.46575455456571</v>
      </c>
      <c r="E545">
        <f t="shared" si="50"/>
        <v>996.46575455456571</v>
      </c>
      <c r="F545" s="7">
        <f t="shared" si="54"/>
        <v>1738545.9046677304</v>
      </c>
      <c r="G545" s="2">
        <f t="shared" si="51"/>
        <v>1084</v>
      </c>
      <c r="J545" s="2">
        <v>1992.9315091091314</v>
      </c>
      <c r="K545" s="2">
        <f t="shared" si="52"/>
        <v>-996.46575455456571</v>
      </c>
      <c r="L545" s="2">
        <f t="shared" si="53"/>
        <v>996.46575455456571</v>
      </c>
    </row>
    <row r="546" spans="1:12" x14ac:dyDescent="0.25">
      <c r="A546">
        <v>544</v>
      </c>
      <c r="B546" s="1">
        <v>1086</v>
      </c>
      <c r="C546" s="1">
        <v>1992.5902739901146</v>
      </c>
      <c r="D546">
        <f t="shared" si="49"/>
        <v>-996.29513699505731</v>
      </c>
      <c r="E546">
        <f t="shared" si="50"/>
        <v>996.29513699505731</v>
      </c>
      <c r="F546" s="7">
        <f t="shared" si="54"/>
        <v>1742531.4264508297</v>
      </c>
      <c r="G546" s="2">
        <f t="shared" si="51"/>
        <v>1086</v>
      </c>
      <c r="J546" s="2">
        <v>1992.5902739901146</v>
      </c>
      <c r="K546" s="2">
        <f t="shared" si="52"/>
        <v>-996.29513699505731</v>
      </c>
      <c r="L546" s="2">
        <f t="shared" si="53"/>
        <v>996.29513699505731</v>
      </c>
    </row>
    <row r="547" spans="1:12" x14ac:dyDescent="0.25">
      <c r="A547">
        <v>545</v>
      </c>
      <c r="B547" s="1">
        <v>1088</v>
      </c>
      <c r="C547" s="1">
        <v>1992.2409492829927</v>
      </c>
      <c r="D547">
        <f t="shared" si="49"/>
        <v>-996.12047464149634</v>
      </c>
      <c r="E547">
        <f t="shared" si="50"/>
        <v>996.12047464149634</v>
      </c>
      <c r="F547" s="7">
        <f t="shared" si="54"/>
        <v>1746516.2576741029</v>
      </c>
      <c r="G547" s="2">
        <f t="shared" si="51"/>
        <v>1088</v>
      </c>
      <c r="J547" s="2">
        <v>1992.2409492829927</v>
      </c>
      <c r="K547" s="2">
        <f t="shared" si="52"/>
        <v>-996.12047464149634</v>
      </c>
      <c r="L547" s="2">
        <f t="shared" si="53"/>
        <v>996.12047464149634</v>
      </c>
    </row>
    <row r="548" spans="1:12" x14ac:dyDescent="0.25">
      <c r="A548">
        <v>546</v>
      </c>
      <c r="B548" s="1">
        <v>1090</v>
      </c>
      <c r="C548" s="1">
        <v>1991.883530731654</v>
      </c>
      <c r="D548">
        <f t="shared" si="49"/>
        <v>-995.941765365827</v>
      </c>
      <c r="E548">
        <f t="shared" si="50"/>
        <v>995.941765365827</v>
      </c>
      <c r="F548" s="7">
        <f t="shared" si="54"/>
        <v>1750500.3821541176</v>
      </c>
      <c r="G548" s="2">
        <f t="shared" si="51"/>
        <v>1090</v>
      </c>
      <c r="J548" s="2">
        <v>1991.883530731654</v>
      </c>
      <c r="K548" s="2">
        <f t="shared" si="52"/>
        <v>-995.941765365827</v>
      </c>
      <c r="L548" s="2">
        <f t="shared" si="53"/>
        <v>995.941765365827</v>
      </c>
    </row>
    <row r="549" spans="1:12" x14ac:dyDescent="0.25">
      <c r="A549">
        <v>547</v>
      </c>
      <c r="B549" s="1">
        <v>1092</v>
      </c>
      <c r="C549" s="1">
        <v>1991.5180139782819</v>
      </c>
      <c r="D549">
        <f t="shared" si="49"/>
        <v>-995.75900698914097</v>
      </c>
      <c r="E549">
        <f t="shared" si="50"/>
        <v>995.75900698914097</v>
      </c>
      <c r="F549" s="7">
        <f t="shared" si="54"/>
        <v>1754483.7836988275</v>
      </c>
      <c r="G549" s="2">
        <f t="shared" si="51"/>
        <v>1092</v>
      </c>
      <c r="J549" s="2">
        <v>1991.5180139782819</v>
      </c>
      <c r="K549" s="2">
        <f t="shared" si="52"/>
        <v>-995.75900698914097</v>
      </c>
      <c r="L549" s="2">
        <f t="shared" si="53"/>
        <v>995.75900698914097</v>
      </c>
    </row>
    <row r="550" spans="1:12" x14ac:dyDescent="0.25">
      <c r="A550">
        <v>548</v>
      </c>
      <c r="B550" s="1">
        <v>1094</v>
      </c>
      <c r="C550" s="1">
        <v>1991.1443945630865</v>
      </c>
      <c r="D550">
        <f t="shared" si="49"/>
        <v>-995.57219728154325</v>
      </c>
      <c r="E550">
        <f t="shared" si="50"/>
        <v>995.57219728154325</v>
      </c>
      <c r="F550" s="7">
        <f t="shared" si="54"/>
        <v>1758466.4461073689</v>
      </c>
      <c r="G550" s="2">
        <f t="shared" si="51"/>
        <v>1094</v>
      </c>
      <c r="J550" s="2">
        <v>1991.1443945630865</v>
      </c>
      <c r="K550" s="2">
        <f t="shared" si="52"/>
        <v>-995.57219728154325</v>
      </c>
      <c r="L550" s="2">
        <f t="shared" si="53"/>
        <v>995.57219728154325</v>
      </c>
    </row>
    <row r="551" spans="1:12" x14ac:dyDescent="0.25">
      <c r="A551">
        <v>549</v>
      </c>
      <c r="B551" s="1">
        <v>1096</v>
      </c>
      <c r="C551" s="1">
        <v>1990.7626679240295</v>
      </c>
      <c r="D551">
        <f t="shared" si="49"/>
        <v>-995.38133396201476</v>
      </c>
      <c r="E551">
        <f t="shared" si="50"/>
        <v>995.38133396201476</v>
      </c>
      <c r="F551" s="7">
        <f t="shared" si="54"/>
        <v>1762448.3531698561</v>
      </c>
      <c r="G551" s="2">
        <f t="shared" si="51"/>
        <v>1096</v>
      </c>
      <c r="J551" s="2">
        <v>1990.7626679240295</v>
      </c>
      <c r="K551" s="2">
        <f t="shared" si="52"/>
        <v>-995.38133396201476</v>
      </c>
      <c r="L551" s="2">
        <f t="shared" si="53"/>
        <v>995.38133396201476</v>
      </c>
    </row>
    <row r="552" spans="1:12" x14ac:dyDescent="0.25">
      <c r="A552">
        <v>550</v>
      </c>
      <c r="B552" s="1">
        <v>1098</v>
      </c>
      <c r="C552" s="1">
        <v>1990.372829396543</v>
      </c>
      <c r="D552">
        <f t="shared" si="49"/>
        <v>-995.18641469827151</v>
      </c>
      <c r="E552">
        <f t="shared" si="50"/>
        <v>995.18641469827151</v>
      </c>
      <c r="F552" s="7">
        <f t="shared" si="54"/>
        <v>1766429.4886671768</v>
      </c>
      <c r="G552" s="2">
        <f t="shared" si="51"/>
        <v>1098</v>
      </c>
      <c r="J552" s="2">
        <v>1990.372829396543</v>
      </c>
      <c r="K552" s="2">
        <f t="shared" si="52"/>
        <v>-995.18641469827151</v>
      </c>
      <c r="L552" s="2">
        <f t="shared" si="53"/>
        <v>995.18641469827151</v>
      </c>
    </row>
    <row r="553" spans="1:12" x14ac:dyDescent="0.25">
      <c r="A553">
        <v>551</v>
      </c>
      <c r="B553" s="1">
        <v>1100</v>
      </c>
      <c r="C553" s="1">
        <v>1989.9748742132399</v>
      </c>
      <c r="D553">
        <f t="shared" si="49"/>
        <v>-994.98743710661995</v>
      </c>
      <c r="E553">
        <f t="shared" si="50"/>
        <v>994.98743710661995</v>
      </c>
      <c r="F553" s="7">
        <f t="shared" si="54"/>
        <v>1770409.8363707867</v>
      </c>
      <c r="G553" s="2">
        <f t="shared" si="51"/>
        <v>1100</v>
      </c>
      <c r="J553" s="2">
        <v>1989.9748742132399</v>
      </c>
      <c r="K553" s="2">
        <f t="shared" si="52"/>
        <v>-994.98743710661995</v>
      </c>
      <c r="L553" s="2">
        <f t="shared" si="53"/>
        <v>994.98743710661995</v>
      </c>
    </row>
    <row r="554" spans="1:12" x14ac:dyDescent="0.25">
      <c r="A554">
        <v>552</v>
      </c>
      <c r="B554" s="1">
        <v>1102</v>
      </c>
      <c r="C554" s="1">
        <v>1989.5687975036199</v>
      </c>
      <c r="D554">
        <f t="shared" si="49"/>
        <v>-994.78439875180993</v>
      </c>
      <c r="E554">
        <f t="shared" si="50"/>
        <v>994.78439875180993</v>
      </c>
      <c r="F554" s="7">
        <f t="shared" si="54"/>
        <v>1774389.3800425036</v>
      </c>
      <c r="G554" s="2">
        <f t="shared" si="51"/>
        <v>1102</v>
      </c>
      <c r="J554" s="2">
        <v>1989.5687975036199</v>
      </c>
      <c r="K554" s="2">
        <f t="shared" si="52"/>
        <v>-994.78439875180993</v>
      </c>
      <c r="L554" s="2">
        <f t="shared" si="53"/>
        <v>994.78439875180993</v>
      </c>
    </row>
    <row r="555" spans="1:12" x14ac:dyDescent="0.25">
      <c r="A555">
        <v>553</v>
      </c>
      <c r="B555" s="1">
        <v>1104</v>
      </c>
      <c r="C555" s="1">
        <v>1989.1545942937669</v>
      </c>
      <c r="D555">
        <f t="shared" si="49"/>
        <v>-994.57729714688344</v>
      </c>
      <c r="E555">
        <f t="shared" si="50"/>
        <v>994.57729714688344</v>
      </c>
      <c r="F555" s="7">
        <f t="shared" si="54"/>
        <v>1778368.103434301</v>
      </c>
      <c r="G555" s="2">
        <f t="shared" si="51"/>
        <v>1104</v>
      </c>
      <c r="J555" s="2">
        <v>1989.1545942937669</v>
      </c>
      <c r="K555" s="2">
        <f t="shared" si="52"/>
        <v>-994.57729714688344</v>
      </c>
      <c r="L555" s="2">
        <f t="shared" si="53"/>
        <v>994.57729714688344</v>
      </c>
    </row>
    <row r="556" spans="1:12" x14ac:dyDescent="0.25">
      <c r="A556">
        <v>554</v>
      </c>
      <c r="B556" s="1">
        <v>1106</v>
      </c>
      <c r="C556" s="1">
        <v>1988.7322595060402</v>
      </c>
      <c r="D556">
        <f t="shared" si="49"/>
        <v>-994.36612975302012</v>
      </c>
      <c r="E556">
        <f t="shared" si="50"/>
        <v>994.36612975302012</v>
      </c>
      <c r="F556" s="7">
        <f t="shared" si="54"/>
        <v>1782345.9902881009</v>
      </c>
      <c r="G556" s="2">
        <f t="shared" si="51"/>
        <v>1106</v>
      </c>
      <c r="J556" s="2">
        <v>1988.7322595060402</v>
      </c>
      <c r="K556" s="2">
        <f t="shared" si="52"/>
        <v>-994.36612975302012</v>
      </c>
      <c r="L556" s="2">
        <f t="shared" si="53"/>
        <v>994.36612975302012</v>
      </c>
    </row>
    <row r="557" spans="1:12" x14ac:dyDescent="0.25">
      <c r="A557">
        <v>555</v>
      </c>
      <c r="B557" s="1">
        <v>1108</v>
      </c>
      <c r="C557" s="1">
        <v>1988.3017879587596</v>
      </c>
      <c r="D557">
        <f t="shared" si="49"/>
        <v>-994.15089397937982</v>
      </c>
      <c r="E557">
        <f t="shared" si="50"/>
        <v>994.15089397937982</v>
      </c>
      <c r="F557" s="7">
        <f t="shared" si="54"/>
        <v>1786323.0243355657</v>
      </c>
      <c r="G557" s="2">
        <f t="shared" si="51"/>
        <v>1108</v>
      </c>
      <c r="J557" s="2">
        <v>1988.3017879587596</v>
      </c>
      <c r="K557" s="2">
        <f t="shared" si="52"/>
        <v>-994.15089397937982</v>
      </c>
      <c r="L557" s="2">
        <f t="shared" si="53"/>
        <v>994.15089397937982</v>
      </c>
    </row>
    <row r="558" spans="1:12" x14ac:dyDescent="0.25">
      <c r="A558">
        <v>556</v>
      </c>
      <c r="B558" s="1">
        <v>1110</v>
      </c>
      <c r="C558" s="1">
        <v>1987.8631743658818</v>
      </c>
      <c r="D558">
        <f t="shared" si="49"/>
        <v>-993.93158718294092</v>
      </c>
      <c r="E558">
        <f t="shared" si="50"/>
        <v>993.93158718294092</v>
      </c>
      <c r="F558" s="7">
        <f t="shared" si="54"/>
        <v>1790299.1892978903</v>
      </c>
      <c r="G558" s="2">
        <f t="shared" si="51"/>
        <v>1110</v>
      </c>
      <c r="J558" s="2">
        <v>1987.8631743658818</v>
      </c>
      <c r="K558" s="2">
        <f t="shared" si="52"/>
        <v>-993.93158718294092</v>
      </c>
      <c r="L558" s="2">
        <f t="shared" si="53"/>
        <v>993.93158718294092</v>
      </c>
    </row>
    <row r="559" spans="1:12" x14ac:dyDescent="0.25">
      <c r="A559">
        <v>557</v>
      </c>
      <c r="B559" s="1">
        <v>1112</v>
      </c>
      <c r="C559" s="1">
        <v>1987.4164133366717</v>
      </c>
      <c r="D559">
        <f t="shared" si="49"/>
        <v>-993.70820666833583</v>
      </c>
      <c r="E559">
        <f t="shared" si="50"/>
        <v>993.70820666833583</v>
      </c>
      <c r="F559" s="7">
        <f t="shared" si="54"/>
        <v>1794274.4688855929</v>
      </c>
      <c r="G559" s="2">
        <f t="shared" si="51"/>
        <v>1112</v>
      </c>
      <c r="J559" s="2">
        <v>1987.4164133366717</v>
      </c>
      <c r="K559" s="2">
        <f t="shared" si="52"/>
        <v>-993.70820666833583</v>
      </c>
      <c r="L559" s="2">
        <f t="shared" si="53"/>
        <v>993.70820666833583</v>
      </c>
    </row>
    <row r="560" spans="1:12" x14ac:dyDescent="0.25">
      <c r="A560">
        <v>558</v>
      </c>
      <c r="B560" s="1">
        <v>1114</v>
      </c>
      <c r="C560" s="1">
        <v>1986.9614993753653</v>
      </c>
      <c r="D560">
        <f t="shared" si="49"/>
        <v>-993.48074968768265</v>
      </c>
      <c r="E560">
        <f t="shared" si="50"/>
        <v>993.48074968768265</v>
      </c>
      <c r="F560" s="7">
        <f t="shared" si="54"/>
        <v>1798248.8467983049</v>
      </c>
      <c r="G560" s="2">
        <f t="shared" si="51"/>
        <v>1114</v>
      </c>
      <c r="J560" s="2">
        <v>1986.9614993753653</v>
      </c>
      <c r="K560" s="2">
        <f t="shared" si="52"/>
        <v>-993.48074968768265</v>
      </c>
      <c r="L560" s="2">
        <f t="shared" si="53"/>
        <v>993.48074968768265</v>
      </c>
    </row>
    <row r="561" spans="1:12" x14ac:dyDescent="0.25">
      <c r="A561">
        <v>559</v>
      </c>
      <c r="B561" s="1">
        <v>1116</v>
      </c>
      <c r="C561" s="1">
        <v>1986.4984268808269</v>
      </c>
      <c r="D561">
        <f t="shared" si="49"/>
        <v>-993.24921344041343</v>
      </c>
      <c r="E561">
        <f t="shared" si="50"/>
        <v>993.24921344041343</v>
      </c>
      <c r="F561" s="7">
        <f t="shared" si="54"/>
        <v>1802222.3067245611</v>
      </c>
      <c r="G561" s="2">
        <f t="shared" si="51"/>
        <v>1116</v>
      </c>
      <c r="J561" s="2">
        <v>1986.4984268808269</v>
      </c>
      <c r="K561" s="2">
        <f t="shared" si="52"/>
        <v>-993.24921344041343</v>
      </c>
      <c r="L561" s="2">
        <f t="shared" si="53"/>
        <v>993.24921344041343</v>
      </c>
    </row>
    <row r="562" spans="1:12" x14ac:dyDescent="0.25">
      <c r="A562">
        <v>560</v>
      </c>
      <c r="B562" s="1">
        <v>1118</v>
      </c>
      <c r="C562" s="1">
        <v>1986.0271901461974</v>
      </c>
      <c r="D562">
        <f t="shared" si="49"/>
        <v>-993.01359507309871</v>
      </c>
      <c r="E562">
        <f t="shared" si="50"/>
        <v>993.01359507309871</v>
      </c>
      <c r="F562" s="7">
        <f t="shared" si="54"/>
        <v>1806194.8323415881</v>
      </c>
      <c r="G562" s="2">
        <f t="shared" si="51"/>
        <v>1118</v>
      </c>
      <c r="J562" s="2">
        <v>1986.0271901461974</v>
      </c>
      <c r="K562" s="2">
        <f t="shared" si="52"/>
        <v>-993.01359507309871</v>
      </c>
      <c r="L562" s="2">
        <f t="shared" si="53"/>
        <v>993.01359507309871</v>
      </c>
    </row>
    <row r="563" spans="1:12" x14ac:dyDescent="0.25">
      <c r="A563">
        <v>561</v>
      </c>
      <c r="B563" s="1">
        <v>1120</v>
      </c>
      <c r="C563" s="1">
        <v>1985.5477833585371</v>
      </c>
      <c r="D563">
        <f t="shared" si="49"/>
        <v>-992.77389167926856</v>
      </c>
      <c r="E563">
        <f t="shared" si="50"/>
        <v>992.77389167926856</v>
      </c>
      <c r="F563" s="7">
        <f t="shared" si="54"/>
        <v>1810166.4073150929</v>
      </c>
      <c r="G563" s="2">
        <f t="shared" si="51"/>
        <v>1120</v>
      </c>
      <c r="J563" s="2">
        <v>1985.5477833585371</v>
      </c>
      <c r="K563" s="2">
        <f t="shared" si="52"/>
        <v>-992.77389167926856</v>
      </c>
      <c r="L563" s="2">
        <f t="shared" si="53"/>
        <v>992.77389167926856</v>
      </c>
    </row>
    <row r="564" spans="1:12" x14ac:dyDescent="0.25">
      <c r="A564">
        <v>562</v>
      </c>
      <c r="B564" s="1">
        <v>1122</v>
      </c>
      <c r="C564" s="1">
        <v>1985.0602005984604</v>
      </c>
      <c r="D564">
        <f t="shared" si="49"/>
        <v>-992.53010029923018</v>
      </c>
      <c r="E564">
        <f t="shared" si="50"/>
        <v>992.53010029923018</v>
      </c>
      <c r="F564" s="7">
        <f t="shared" si="54"/>
        <v>1814137.0152990499</v>
      </c>
      <c r="G564" s="2">
        <f t="shared" si="51"/>
        <v>1122</v>
      </c>
      <c r="J564" s="2">
        <v>1985.0602005984604</v>
      </c>
      <c r="K564" s="2">
        <f t="shared" si="52"/>
        <v>-992.53010029923018</v>
      </c>
      <c r="L564" s="2">
        <f t="shared" si="53"/>
        <v>992.53010029923018</v>
      </c>
    </row>
    <row r="565" spans="1:12" x14ac:dyDescent="0.25">
      <c r="A565">
        <v>563</v>
      </c>
      <c r="B565" s="1">
        <v>1124</v>
      </c>
      <c r="C565" s="1">
        <v>1984.5644358397637</v>
      </c>
      <c r="D565">
        <f t="shared" si="49"/>
        <v>-992.28221791988187</v>
      </c>
      <c r="E565">
        <f t="shared" si="50"/>
        <v>992.28221791988187</v>
      </c>
      <c r="F565" s="7">
        <f t="shared" si="54"/>
        <v>1818106.6399354881</v>
      </c>
      <c r="G565" s="2">
        <f t="shared" si="51"/>
        <v>1124</v>
      </c>
      <c r="J565" s="2">
        <v>1984.5644358397637</v>
      </c>
      <c r="K565" s="2">
        <f t="shared" si="52"/>
        <v>-992.28221791988187</v>
      </c>
      <c r="L565" s="2">
        <f t="shared" si="53"/>
        <v>992.28221791988187</v>
      </c>
    </row>
    <row r="566" spans="1:12" x14ac:dyDescent="0.25">
      <c r="A566">
        <v>564</v>
      </c>
      <c r="B566" s="1">
        <v>1126</v>
      </c>
      <c r="C566" s="1">
        <v>1984.0604829490455</v>
      </c>
      <c r="D566">
        <f t="shared" si="49"/>
        <v>-992.03024147452277</v>
      </c>
      <c r="E566">
        <f t="shared" si="50"/>
        <v>992.03024147452277</v>
      </c>
      <c r="F566" s="7">
        <f t="shared" si="54"/>
        <v>1822075.264854277</v>
      </c>
      <c r="G566" s="2">
        <f t="shared" si="51"/>
        <v>1126</v>
      </c>
      <c r="J566" s="2">
        <v>1984.0604829490455</v>
      </c>
      <c r="K566" s="2">
        <f t="shared" si="52"/>
        <v>-992.03024147452277</v>
      </c>
      <c r="L566" s="2">
        <f t="shared" si="53"/>
        <v>992.03024147452277</v>
      </c>
    </row>
    <row r="567" spans="1:12" x14ac:dyDescent="0.25">
      <c r="A567">
        <v>565</v>
      </c>
      <c r="B567" s="1">
        <v>1128</v>
      </c>
      <c r="C567" s="1">
        <v>1983.5483356853192</v>
      </c>
      <c r="D567">
        <f t="shared" si="49"/>
        <v>-991.77416784265961</v>
      </c>
      <c r="E567">
        <f t="shared" si="50"/>
        <v>991.77416784265961</v>
      </c>
      <c r="F567" s="7">
        <f t="shared" si="54"/>
        <v>1826042.8736729114</v>
      </c>
      <c r="G567" s="2">
        <f t="shared" si="51"/>
        <v>1128</v>
      </c>
      <c r="J567" s="2">
        <v>1983.5483356853192</v>
      </c>
      <c r="K567" s="2">
        <f t="shared" si="52"/>
        <v>-991.77416784265961</v>
      </c>
      <c r="L567" s="2">
        <f t="shared" si="53"/>
        <v>991.77416784265961</v>
      </c>
    </row>
    <row r="568" spans="1:12" x14ac:dyDescent="0.25">
      <c r="A568">
        <v>566</v>
      </c>
      <c r="B568" s="1">
        <v>1130</v>
      </c>
      <c r="C568" s="1">
        <v>1983.027987699619</v>
      </c>
      <c r="D568">
        <f t="shared" si="49"/>
        <v>-991.51399384980948</v>
      </c>
      <c r="E568">
        <f t="shared" si="50"/>
        <v>991.51399384980948</v>
      </c>
      <c r="F568" s="7">
        <f t="shared" si="54"/>
        <v>1830009.4499962963</v>
      </c>
      <c r="G568" s="2">
        <f t="shared" si="51"/>
        <v>1130</v>
      </c>
      <c r="J568" s="2">
        <v>1983.027987699619</v>
      </c>
      <c r="K568" s="2">
        <f t="shared" si="52"/>
        <v>-991.51399384980948</v>
      </c>
      <c r="L568" s="2">
        <f t="shared" si="53"/>
        <v>991.51399384980948</v>
      </c>
    </row>
    <row r="569" spans="1:12" x14ac:dyDescent="0.25">
      <c r="A569">
        <v>567</v>
      </c>
      <c r="B569" s="1">
        <v>1132</v>
      </c>
      <c r="C569" s="1">
        <v>1982.4994325345972</v>
      </c>
      <c r="D569">
        <f t="shared" si="49"/>
        <v>-991.2497162672986</v>
      </c>
      <c r="E569">
        <f t="shared" si="50"/>
        <v>991.2497162672986</v>
      </c>
      <c r="F569" s="7">
        <f t="shared" si="54"/>
        <v>1833974.9774165305</v>
      </c>
      <c r="G569" s="2">
        <f t="shared" si="51"/>
        <v>1132</v>
      </c>
      <c r="J569" s="2">
        <v>1982.4994325345972</v>
      </c>
      <c r="K569" s="2">
        <f t="shared" si="52"/>
        <v>-991.2497162672986</v>
      </c>
      <c r="L569" s="2">
        <f t="shared" si="53"/>
        <v>991.2497162672986</v>
      </c>
    </row>
    <row r="570" spans="1:12" x14ac:dyDescent="0.25">
      <c r="A570">
        <v>568</v>
      </c>
      <c r="B570" s="1">
        <v>1134</v>
      </c>
      <c r="C570" s="1">
        <v>1981.9626636241157</v>
      </c>
      <c r="D570">
        <f t="shared" si="49"/>
        <v>-990.98133181205787</v>
      </c>
      <c r="E570">
        <f t="shared" si="50"/>
        <v>990.98133181205787</v>
      </c>
      <c r="F570" s="7">
        <f t="shared" si="54"/>
        <v>1837939.4395126891</v>
      </c>
      <c r="G570" s="2">
        <f t="shared" si="51"/>
        <v>1134</v>
      </c>
      <c r="J570" s="2">
        <v>1981.9626636241157</v>
      </c>
      <c r="K570" s="2">
        <f t="shared" si="52"/>
        <v>-990.98133181205787</v>
      </c>
      <c r="L570" s="2">
        <f t="shared" si="53"/>
        <v>990.98133181205787</v>
      </c>
    </row>
    <row r="571" spans="1:12" x14ac:dyDescent="0.25">
      <c r="A571">
        <v>569</v>
      </c>
      <c r="B571" s="1">
        <v>1136</v>
      </c>
      <c r="C571" s="1">
        <v>1981.4176742928282</v>
      </c>
      <c r="D571">
        <f t="shared" si="49"/>
        <v>-990.70883714641411</v>
      </c>
      <c r="E571">
        <f t="shared" si="50"/>
        <v>990.70883714641411</v>
      </c>
      <c r="F571" s="7">
        <f t="shared" si="54"/>
        <v>1841902.8198506061</v>
      </c>
      <c r="G571" s="2">
        <f t="shared" si="51"/>
        <v>1136</v>
      </c>
      <c r="J571" s="2">
        <v>1981.4176742928282</v>
      </c>
      <c r="K571" s="2">
        <f t="shared" si="52"/>
        <v>-990.70883714641411</v>
      </c>
      <c r="L571" s="2">
        <f t="shared" si="53"/>
        <v>990.70883714641411</v>
      </c>
    </row>
    <row r="572" spans="1:12" x14ac:dyDescent="0.25">
      <c r="A572">
        <v>570</v>
      </c>
      <c r="B572" s="1">
        <v>1138</v>
      </c>
      <c r="C572" s="1">
        <v>1980.8644577557548</v>
      </c>
      <c r="D572">
        <f t="shared" si="49"/>
        <v>-990.43222887787738</v>
      </c>
      <c r="E572">
        <f t="shared" si="50"/>
        <v>990.43222887787738</v>
      </c>
      <c r="F572" s="7">
        <f t="shared" si="54"/>
        <v>1845865.1019826548</v>
      </c>
      <c r="G572" s="2">
        <f t="shared" si="51"/>
        <v>1138</v>
      </c>
      <c r="J572" s="2">
        <v>1980.8644577557548</v>
      </c>
      <c r="K572" s="2">
        <f t="shared" si="52"/>
        <v>-990.43222887787738</v>
      </c>
      <c r="L572" s="2">
        <f t="shared" si="53"/>
        <v>990.43222887787738</v>
      </c>
    </row>
    <row r="573" spans="1:12" x14ac:dyDescent="0.25">
      <c r="A573">
        <v>571</v>
      </c>
      <c r="B573" s="1">
        <v>1140</v>
      </c>
      <c r="C573" s="1">
        <v>1980.30300711785</v>
      </c>
      <c r="D573">
        <f t="shared" si="49"/>
        <v>-990.15150355892501</v>
      </c>
      <c r="E573">
        <f t="shared" si="50"/>
        <v>990.15150355892501</v>
      </c>
      <c r="F573" s="7">
        <f t="shared" si="54"/>
        <v>1849826.2694475283</v>
      </c>
      <c r="G573" s="2">
        <f t="shared" si="51"/>
        <v>1140</v>
      </c>
      <c r="J573" s="2">
        <v>1980.30300711785</v>
      </c>
      <c r="K573" s="2">
        <f t="shared" si="52"/>
        <v>-990.15150355892501</v>
      </c>
      <c r="L573" s="2">
        <f t="shared" si="53"/>
        <v>990.15150355892501</v>
      </c>
    </row>
    <row r="574" spans="1:12" x14ac:dyDescent="0.25">
      <c r="A574">
        <v>572</v>
      </c>
      <c r="B574" s="1">
        <v>1142</v>
      </c>
      <c r="C574" s="1">
        <v>1979.7333153735631</v>
      </c>
      <c r="D574">
        <f t="shared" si="49"/>
        <v>-989.86665768678154</v>
      </c>
      <c r="E574">
        <f t="shared" si="50"/>
        <v>989.86665768678154</v>
      </c>
      <c r="F574" s="7">
        <f t="shared" si="54"/>
        <v>1853786.3057700198</v>
      </c>
      <c r="G574" s="2">
        <f t="shared" si="51"/>
        <v>1142</v>
      </c>
      <c r="J574" s="2">
        <v>1979.7333153735631</v>
      </c>
      <c r="K574" s="2">
        <f t="shared" si="52"/>
        <v>-989.86665768678154</v>
      </c>
      <c r="L574" s="2">
        <f t="shared" si="53"/>
        <v>989.86665768678154</v>
      </c>
    </row>
    <row r="575" spans="1:12" x14ac:dyDescent="0.25">
      <c r="A575">
        <v>573</v>
      </c>
      <c r="B575" s="1">
        <v>1144</v>
      </c>
      <c r="C575" s="1">
        <v>1979.1553754063877</v>
      </c>
      <c r="D575">
        <f t="shared" si="49"/>
        <v>-989.57768770319387</v>
      </c>
      <c r="E575">
        <f t="shared" si="50"/>
        <v>989.57768770319387</v>
      </c>
      <c r="F575" s="7">
        <f t="shared" si="54"/>
        <v>1857745.1944607997</v>
      </c>
      <c r="G575" s="2">
        <f t="shared" si="51"/>
        <v>1144</v>
      </c>
      <c r="J575" s="2">
        <v>1979.1553754063877</v>
      </c>
      <c r="K575" s="2">
        <f t="shared" si="52"/>
        <v>-989.57768770319387</v>
      </c>
      <c r="L575" s="2">
        <f t="shared" si="53"/>
        <v>989.57768770319387</v>
      </c>
    </row>
    <row r="576" spans="1:12" x14ac:dyDescent="0.25">
      <c r="A576">
        <v>574</v>
      </c>
      <c r="B576" s="1">
        <v>1146</v>
      </c>
      <c r="C576" s="1">
        <v>1978.5691799884078</v>
      </c>
      <c r="D576">
        <f t="shared" si="49"/>
        <v>-989.28458999420388</v>
      </c>
      <c r="E576">
        <f t="shared" si="50"/>
        <v>989.28458999420388</v>
      </c>
      <c r="F576" s="7">
        <f t="shared" si="54"/>
        <v>1861702.9190161945</v>
      </c>
      <c r="G576" s="2">
        <f t="shared" si="51"/>
        <v>1146</v>
      </c>
      <c r="J576" s="2">
        <v>1978.5691799884078</v>
      </c>
      <c r="K576" s="2">
        <f t="shared" si="52"/>
        <v>-989.28458999420388</v>
      </c>
      <c r="L576" s="2">
        <f t="shared" si="53"/>
        <v>989.28458999420388</v>
      </c>
    </row>
    <row r="577" spans="1:12" x14ac:dyDescent="0.25">
      <c r="A577">
        <v>575</v>
      </c>
      <c r="B577" s="1">
        <v>1148</v>
      </c>
      <c r="C577" s="1">
        <v>1977.974721779831</v>
      </c>
      <c r="D577">
        <f t="shared" si="49"/>
        <v>-988.98736088991552</v>
      </c>
      <c r="E577">
        <f t="shared" si="50"/>
        <v>988.98736088991552</v>
      </c>
      <c r="F577" s="7">
        <f t="shared" si="54"/>
        <v>1865659.4629179628</v>
      </c>
      <c r="G577" s="2">
        <f t="shared" si="51"/>
        <v>1148</v>
      </c>
      <c r="J577" s="2">
        <v>1977.974721779831</v>
      </c>
      <c r="K577" s="2">
        <f t="shared" si="52"/>
        <v>-988.98736088991552</v>
      </c>
      <c r="L577" s="2">
        <f t="shared" si="53"/>
        <v>988.98736088991552</v>
      </c>
    </row>
    <row r="578" spans="1:12" x14ac:dyDescent="0.25">
      <c r="A578">
        <v>576</v>
      </c>
      <c r="B578" s="1">
        <v>1150</v>
      </c>
      <c r="C578" s="1">
        <v>1977.3719933285188</v>
      </c>
      <c r="D578">
        <f t="shared" si="49"/>
        <v>-988.68599666425939</v>
      </c>
      <c r="E578">
        <f t="shared" si="50"/>
        <v>988.68599666425939</v>
      </c>
      <c r="F578" s="7">
        <f t="shared" si="54"/>
        <v>1869614.8096330711</v>
      </c>
      <c r="G578" s="2">
        <f t="shared" si="51"/>
        <v>1150</v>
      </c>
      <c r="J578" s="2">
        <v>1977.3719933285188</v>
      </c>
      <c r="K578" s="2">
        <f t="shared" si="52"/>
        <v>-988.68599666425939</v>
      </c>
      <c r="L578" s="2">
        <f t="shared" si="53"/>
        <v>988.68599666425939</v>
      </c>
    </row>
    <row r="579" spans="1:12" x14ac:dyDescent="0.25">
      <c r="A579">
        <v>577</v>
      </c>
      <c r="B579" s="1">
        <v>1152</v>
      </c>
      <c r="C579" s="1">
        <v>1976.7609870695042</v>
      </c>
      <c r="D579">
        <f t="shared" si="49"/>
        <v>-988.38049353475208</v>
      </c>
      <c r="E579">
        <f t="shared" si="50"/>
        <v>988.38049353475208</v>
      </c>
      <c r="F579" s="7">
        <f t="shared" si="54"/>
        <v>1873568.9426134692</v>
      </c>
      <c r="G579" s="2">
        <f t="shared" si="51"/>
        <v>1152</v>
      </c>
      <c r="J579" s="2">
        <v>1976.7609870695042</v>
      </c>
      <c r="K579" s="2">
        <f t="shared" si="52"/>
        <v>-988.38049353475208</v>
      </c>
      <c r="L579" s="2">
        <f t="shared" si="53"/>
        <v>988.38049353475208</v>
      </c>
    </row>
    <row r="580" spans="1:12" x14ac:dyDescent="0.25">
      <c r="A580">
        <v>578</v>
      </c>
      <c r="B580" s="1">
        <v>1154</v>
      </c>
      <c r="C580" s="1">
        <v>1976.1416953245027</v>
      </c>
      <c r="D580">
        <f t="shared" ref="D580:D643" si="55">IF(A580&lt;=COUNT(B:B),-1*C580/2,NA())</f>
        <v>-988.07084766225137</v>
      </c>
      <c r="E580">
        <f t="shared" ref="E580:E643" si="56">IF(A580&lt;=COUNT(B:B),C580/2,NA())</f>
        <v>988.07084766225137</v>
      </c>
      <c r="F580" s="7">
        <f t="shared" si="54"/>
        <v>1877521.8452958632</v>
      </c>
      <c r="G580" s="2">
        <f t="shared" ref="G580:G643" si="57">B580-$B$3</f>
        <v>1154</v>
      </c>
      <c r="J580" s="2">
        <v>1976.1416953245027</v>
      </c>
      <c r="K580" s="2">
        <f t="shared" ref="K580:K643" si="58">IF(A580&lt;=COUNT(B:B),$J580/2*-1,NA())</f>
        <v>-988.07084766225137</v>
      </c>
      <c r="L580" s="2">
        <f t="shared" ref="L580:L643" si="59">IF(A580&lt;=COUNT(B:B),$J580/2,NA())</f>
        <v>988.07084766225137</v>
      </c>
    </row>
    <row r="581" spans="1:12" x14ac:dyDescent="0.25">
      <c r="A581">
        <v>579</v>
      </c>
      <c r="B581" s="1">
        <v>1156</v>
      </c>
      <c r="C581" s="1">
        <v>1975.5141103014173</v>
      </c>
      <c r="D581">
        <f t="shared" si="55"/>
        <v>-987.75705515070865</v>
      </c>
      <c r="E581">
        <f t="shared" si="56"/>
        <v>987.75705515070865</v>
      </c>
      <c r="F581" s="7">
        <f t="shared" ref="F581:F644" si="60">IF(A580&lt;COUNT(B:B),(($C581+$C580)*(B581-B580)/2)+F580,"")</f>
        <v>1881473.5011014892</v>
      </c>
      <c r="G581" s="2">
        <f t="shared" si="57"/>
        <v>1156</v>
      </c>
      <c r="J581" s="2">
        <v>1975.5141103014173</v>
      </c>
      <c r="K581" s="2">
        <f t="shared" si="58"/>
        <v>-987.75705515070865</v>
      </c>
      <c r="L581" s="2">
        <f t="shared" si="59"/>
        <v>987.75705515070865</v>
      </c>
    </row>
    <row r="582" spans="1:12" x14ac:dyDescent="0.25">
      <c r="A582">
        <v>580</v>
      </c>
      <c r="B582" s="1">
        <v>1158</v>
      </c>
      <c r="C582" s="1">
        <v>1974.8782240938301</v>
      </c>
      <c r="D582">
        <f t="shared" si="55"/>
        <v>-987.43911204691506</v>
      </c>
      <c r="E582">
        <f t="shared" si="56"/>
        <v>987.43911204691506</v>
      </c>
      <c r="F582" s="7">
        <f t="shared" si="60"/>
        <v>1885423.8934358845</v>
      </c>
      <c r="G582" s="2">
        <f t="shared" si="57"/>
        <v>1158</v>
      </c>
      <c r="J582" s="2">
        <v>1974.8782240938301</v>
      </c>
      <c r="K582" s="2">
        <f t="shared" si="58"/>
        <v>-987.43911204691506</v>
      </c>
      <c r="L582" s="2">
        <f t="shared" si="59"/>
        <v>987.43911204691506</v>
      </c>
    </row>
    <row r="583" spans="1:12" x14ac:dyDescent="0.25">
      <c r="A583">
        <v>581</v>
      </c>
      <c r="B583" s="1">
        <v>1160</v>
      </c>
      <c r="C583" s="1">
        <v>1974.2340286804906</v>
      </c>
      <c r="D583">
        <f t="shared" si="55"/>
        <v>-987.1170143402453</v>
      </c>
      <c r="E583">
        <f t="shared" si="56"/>
        <v>987.1170143402453</v>
      </c>
      <c r="F583" s="7">
        <f t="shared" si="60"/>
        <v>1889373.0056886589</v>
      </c>
      <c r="G583" s="2">
        <f t="shared" si="57"/>
        <v>1160</v>
      </c>
      <c r="J583" s="2">
        <v>1974.2340286804906</v>
      </c>
      <c r="K583" s="2">
        <f t="shared" si="58"/>
        <v>-987.1170143402453</v>
      </c>
      <c r="L583" s="2">
        <f t="shared" si="59"/>
        <v>987.1170143402453</v>
      </c>
    </row>
    <row r="584" spans="1:12" x14ac:dyDescent="0.25">
      <c r="A584">
        <v>582</v>
      </c>
      <c r="B584" s="1">
        <v>1162</v>
      </c>
      <c r="C584" s="1">
        <v>1973.581515924792</v>
      </c>
      <c r="D584">
        <f t="shared" si="55"/>
        <v>-986.79075796239601</v>
      </c>
      <c r="E584">
        <f t="shared" si="56"/>
        <v>986.79075796239601</v>
      </c>
      <c r="F584" s="7">
        <f t="shared" si="60"/>
        <v>1893320.8212332642</v>
      </c>
      <c r="G584" s="2">
        <f t="shared" si="57"/>
        <v>1162</v>
      </c>
      <c r="J584" s="2">
        <v>1973.581515924792</v>
      </c>
      <c r="K584" s="2">
        <f t="shared" si="58"/>
        <v>-986.79075796239601</v>
      </c>
      <c r="L584" s="2">
        <f t="shared" si="59"/>
        <v>986.79075796239601</v>
      </c>
    </row>
    <row r="585" spans="1:12" x14ac:dyDescent="0.25">
      <c r="A585">
        <v>583</v>
      </c>
      <c r="B585" s="1">
        <v>1164</v>
      </c>
      <c r="C585" s="1">
        <v>1972.9206775742405</v>
      </c>
      <c r="D585">
        <f t="shared" si="55"/>
        <v>-986.46033878712024</v>
      </c>
      <c r="E585">
        <f t="shared" si="56"/>
        <v>986.46033878712024</v>
      </c>
      <c r="F585" s="7">
        <f t="shared" si="60"/>
        <v>1897267.3234267633</v>
      </c>
      <c r="G585" s="2">
        <f t="shared" si="57"/>
        <v>1164</v>
      </c>
      <c r="J585" s="2">
        <v>1972.9206775742405</v>
      </c>
      <c r="K585" s="2">
        <f t="shared" si="58"/>
        <v>-986.46033878712024</v>
      </c>
      <c r="L585" s="2">
        <f t="shared" si="59"/>
        <v>986.46033878712024</v>
      </c>
    </row>
    <row r="586" spans="1:12" x14ac:dyDescent="0.25">
      <c r="A586">
        <v>584</v>
      </c>
      <c r="B586" s="1">
        <v>1166</v>
      </c>
      <c r="C586" s="1">
        <v>1972.2515052599149</v>
      </c>
      <c r="D586">
        <f t="shared" si="55"/>
        <v>-986.12575262995745</v>
      </c>
      <c r="E586">
        <f t="shared" si="56"/>
        <v>986.12575262995745</v>
      </c>
      <c r="F586" s="7">
        <f t="shared" si="60"/>
        <v>1901212.4956095975</v>
      </c>
      <c r="G586" s="2">
        <f t="shared" si="57"/>
        <v>1166</v>
      </c>
      <c r="J586" s="2">
        <v>1972.2515052599149</v>
      </c>
      <c r="K586" s="2">
        <f t="shared" si="58"/>
        <v>-986.12575262995745</v>
      </c>
      <c r="L586" s="2">
        <f t="shared" si="59"/>
        <v>986.12575262995745</v>
      </c>
    </row>
    <row r="587" spans="1:12" x14ac:dyDescent="0.25">
      <c r="A587">
        <v>585</v>
      </c>
      <c r="B587" s="1">
        <v>1168</v>
      </c>
      <c r="C587" s="1">
        <v>1971.5739904959185</v>
      </c>
      <c r="D587">
        <f t="shared" si="55"/>
        <v>-985.78699524795923</v>
      </c>
      <c r="E587">
        <f t="shared" si="56"/>
        <v>985.78699524795923</v>
      </c>
      <c r="F587" s="7">
        <f t="shared" si="60"/>
        <v>1905156.3211053533</v>
      </c>
      <c r="G587" s="2">
        <f t="shared" si="57"/>
        <v>1168</v>
      </c>
      <c r="J587" s="2">
        <v>1971.5739904959185</v>
      </c>
      <c r="K587" s="2">
        <f t="shared" si="58"/>
        <v>-985.78699524795923</v>
      </c>
      <c r="L587" s="2">
        <f t="shared" si="59"/>
        <v>985.78699524795923</v>
      </c>
    </row>
    <row r="588" spans="1:12" x14ac:dyDescent="0.25">
      <c r="A588">
        <v>586</v>
      </c>
      <c r="B588" s="1">
        <v>1170</v>
      </c>
      <c r="C588" s="1">
        <v>1970.888124678821</v>
      </c>
      <c r="D588">
        <f t="shared" si="55"/>
        <v>-985.44406233941049</v>
      </c>
      <c r="E588">
        <f t="shared" si="56"/>
        <v>985.44406233941049</v>
      </c>
      <c r="F588" s="7">
        <f t="shared" si="60"/>
        <v>1909098.7832205279</v>
      </c>
      <c r="G588" s="2">
        <f t="shared" si="57"/>
        <v>1170</v>
      </c>
      <c r="J588" s="2">
        <v>1970.888124678821</v>
      </c>
      <c r="K588" s="2">
        <f t="shared" si="58"/>
        <v>-985.44406233941049</v>
      </c>
      <c r="L588" s="2">
        <f t="shared" si="59"/>
        <v>985.44406233941049</v>
      </c>
    </row>
    <row r="589" spans="1:12" x14ac:dyDescent="0.25">
      <c r="A589">
        <v>587</v>
      </c>
      <c r="B589" s="1">
        <v>1172</v>
      </c>
      <c r="C589" s="1">
        <v>1970.1938990870924</v>
      </c>
      <c r="D589">
        <f t="shared" si="55"/>
        <v>-985.0969495435462</v>
      </c>
      <c r="E589">
        <f t="shared" si="56"/>
        <v>985.0969495435462</v>
      </c>
      <c r="F589" s="7">
        <f t="shared" si="60"/>
        <v>1913039.8652442938</v>
      </c>
      <c r="G589" s="2">
        <f t="shared" si="57"/>
        <v>1172</v>
      </c>
      <c r="J589" s="2">
        <v>1970.1938990870924</v>
      </c>
      <c r="K589" s="2">
        <f t="shared" si="58"/>
        <v>-985.0969495435462</v>
      </c>
      <c r="L589" s="2">
        <f t="shared" si="59"/>
        <v>985.0969495435462</v>
      </c>
    </row>
    <row r="590" spans="1:12" x14ac:dyDescent="0.25">
      <c r="A590">
        <v>588</v>
      </c>
      <c r="B590" s="1">
        <v>1174</v>
      </c>
      <c r="C590" s="1">
        <v>1969.4913048805267</v>
      </c>
      <c r="D590">
        <f t="shared" si="55"/>
        <v>-984.74565244026337</v>
      </c>
      <c r="E590">
        <f t="shared" si="56"/>
        <v>984.74565244026337</v>
      </c>
      <c r="F590" s="7">
        <f t="shared" si="60"/>
        <v>1916979.5504482614</v>
      </c>
      <c r="G590" s="2">
        <f t="shared" si="57"/>
        <v>1174</v>
      </c>
      <c r="J590" s="2">
        <v>1969.4913048805267</v>
      </c>
      <c r="K590" s="2">
        <f t="shared" si="58"/>
        <v>-984.74565244026337</v>
      </c>
      <c r="L590" s="2">
        <f t="shared" si="59"/>
        <v>984.74565244026337</v>
      </c>
    </row>
    <row r="591" spans="1:12" x14ac:dyDescent="0.25">
      <c r="A591">
        <v>589</v>
      </c>
      <c r="B591" s="1">
        <v>1176</v>
      </c>
      <c r="C591" s="1">
        <v>1968.7803330996578</v>
      </c>
      <c r="D591">
        <f t="shared" si="55"/>
        <v>-984.3901665498289</v>
      </c>
      <c r="E591">
        <f t="shared" si="56"/>
        <v>984.3901665498289</v>
      </c>
      <c r="F591" s="7">
        <f t="shared" si="60"/>
        <v>1920917.8220862416</v>
      </c>
      <c r="G591" s="2">
        <f t="shared" si="57"/>
        <v>1176</v>
      </c>
      <c r="J591" s="2">
        <v>1968.7803330996578</v>
      </c>
      <c r="K591" s="2">
        <f t="shared" si="58"/>
        <v>-984.3901665498289</v>
      </c>
      <c r="L591" s="2">
        <f t="shared" si="59"/>
        <v>984.3901665498289</v>
      </c>
    </row>
    <row r="592" spans="1:12" x14ac:dyDescent="0.25">
      <c r="A592">
        <v>590</v>
      </c>
      <c r="B592" s="1">
        <v>1178</v>
      </c>
      <c r="C592" s="1">
        <v>1968.0609746651653</v>
      </c>
      <c r="D592">
        <f t="shared" si="55"/>
        <v>-984.03048733258265</v>
      </c>
      <c r="E592">
        <f t="shared" si="56"/>
        <v>984.03048733258265</v>
      </c>
      <c r="F592" s="7">
        <f t="shared" si="60"/>
        <v>1924854.6633940064</v>
      </c>
      <c r="G592" s="2">
        <f t="shared" si="57"/>
        <v>1178</v>
      </c>
      <c r="J592" s="2">
        <v>1968.0609746651653</v>
      </c>
      <c r="K592" s="2">
        <f t="shared" si="58"/>
        <v>-984.03048733258265</v>
      </c>
      <c r="L592" s="2">
        <f t="shared" si="59"/>
        <v>984.03048733258265</v>
      </c>
    </row>
    <row r="593" spans="1:12" x14ac:dyDescent="0.25">
      <c r="A593">
        <v>591</v>
      </c>
      <c r="B593" s="1">
        <v>1180</v>
      </c>
      <c r="C593" s="1">
        <v>1967.33322037727</v>
      </c>
      <c r="D593">
        <f t="shared" si="55"/>
        <v>-983.66661018863499</v>
      </c>
      <c r="E593">
        <f t="shared" si="56"/>
        <v>983.66661018863499</v>
      </c>
      <c r="F593" s="7">
        <f t="shared" si="60"/>
        <v>1928790.057589049</v>
      </c>
      <c r="G593" s="2">
        <f t="shared" si="57"/>
        <v>1180</v>
      </c>
      <c r="J593" s="2">
        <v>1967.33322037727</v>
      </c>
      <c r="K593" s="2">
        <f t="shared" si="58"/>
        <v>-983.66661018863499</v>
      </c>
      <c r="L593" s="2">
        <f t="shared" si="59"/>
        <v>983.66661018863499</v>
      </c>
    </row>
    <row r="594" spans="1:12" x14ac:dyDescent="0.25">
      <c r="A594">
        <v>592</v>
      </c>
      <c r="B594" s="1">
        <v>1182</v>
      </c>
      <c r="C594" s="1">
        <v>1966.5970609151229</v>
      </c>
      <c r="D594">
        <f t="shared" si="55"/>
        <v>-983.29853045756147</v>
      </c>
      <c r="E594">
        <f t="shared" si="56"/>
        <v>983.29853045756147</v>
      </c>
      <c r="F594" s="7">
        <f t="shared" si="60"/>
        <v>1932723.9878703414</v>
      </c>
      <c r="G594" s="2">
        <f t="shared" si="57"/>
        <v>1182</v>
      </c>
      <c r="J594" s="2">
        <v>1966.5970609151229</v>
      </c>
      <c r="K594" s="2">
        <f t="shared" si="58"/>
        <v>-983.29853045756147</v>
      </c>
      <c r="L594" s="2">
        <f t="shared" si="59"/>
        <v>983.29853045756147</v>
      </c>
    </row>
    <row r="595" spans="1:12" x14ac:dyDescent="0.25">
      <c r="A595">
        <v>593</v>
      </c>
      <c r="B595" s="1">
        <v>1184</v>
      </c>
      <c r="C595" s="1">
        <v>1965.8524868361817</v>
      </c>
      <c r="D595">
        <f t="shared" si="55"/>
        <v>-982.92624341809085</v>
      </c>
      <c r="E595">
        <f t="shared" si="56"/>
        <v>982.92624341809085</v>
      </c>
      <c r="F595" s="7">
        <f t="shared" si="60"/>
        <v>1936656.4374180927</v>
      </c>
      <c r="G595" s="2">
        <f t="shared" si="57"/>
        <v>1184</v>
      </c>
      <c r="J595" s="2">
        <v>1965.8524868361817</v>
      </c>
      <c r="K595" s="2">
        <f t="shared" si="58"/>
        <v>-982.92624341809085</v>
      </c>
      <c r="L595" s="2">
        <f t="shared" si="59"/>
        <v>982.92624341809085</v>
      </c>
    </row>
    <row r="596" spans="1:12" x14ac:dyDescent="0.25">
      <c r="A596">
        <v>594</v>
      </c>
      <c r="B596" s="1">
        <v>1186</v>
      </c>
      <c r="C596" s="1">
        <v>1965.0994885755786</v>
      </c>
      <c r="D596">
        <f t="shared" si="55"/>
        <v>-982.54974428778928</v>
      </c>
      <c r="E596">
        <f t="shared" si="56"/>
        <v>982.54974428778928</v>
      </c>
      <c r="F596" s="7">
        <f t="shared" si="60"/>
        <v>1940587.3893935045</v>
      </c>
      <c r="G596" s="2">
        <f t="shared" si="57"/>
        <v>1186</v>
      </c>
      <c r="J596" s="2">
        <v>1965.0994885755786</v>
      </c>
      <c r="K596" s="2">
        <f t="shared" si="58"/>
        <v>-982.54974428778928</v>
      </c>
      <c r="L596" s="2">
        <f t="shared" si="59"/>
        <v>982.54974428778928</v>
      </c>
    </row>
    <row r="597" spans="1:12" x14ac:dyDescent="0.25">
      <c r="A597">
        <v>595</v>
      </c>
      <c r="B597" s="1">
        <v>1188</v>
      </c>
      <c r="C597" s="1">
        <v>1964.3380564454785</v>
      </c>
      <c r="D597">
        <f t="shared" si="55"/>
        <v>-982.16902822273926</v>
      </c>
      <c r="E597">
        <f t="shared" si="56"/>
        <v>982.16902822273926</v>
      </c>
      <c r="F597" s="7">
        <f t="shared" si="60"/>
        <v>1944516.8269385255</v>
      </c>
      <c r="G597" s="2">
        <f t="shared" si="57"/>
        <v>1188</v>
      </c>
      <c r="J597" s="2">
        <v>1964.3380564454785</v>
      </c>
      <c r="K597" s="2">
        <f t="shared" si="58"/>
        <v>-982.16902822273926</v>
      </c>
      <c r="L597" s="2">
        <f t="shared" si="59"/>
        <v>982.16902822273926</v>
      </c>
    </row>
    <row r="598" spans="1:12" x14ac:dyDescent="0.25">
      <c r="A598">
        <v>596</v>
      </c>
      <c r="B598" s="1">
        <v>1190</v>
      </c>
      <c r="C598" s="1">
        <v>1963.5681806344287</v>
      </c>
      <c r="D598">
        <f t="shared" si="55"/>
        <v>-981.78409031721435</v>
      </c>
      <c r="E598">
        <f t="shared" si="56"/>
        <v>981.78409031721435</v>
      </c>
      <c r="F598" s="7">
        <f t="shared" si="60"/>
        <v>1948444.7331756055</v>
      </c>
      <c r="G598" s="2">
        <f t="shared" si="57"/>
        <v>1190</v>
      </c>
      <c r="J598" s="2">
        <v>1963.5681806344287</v>
      </c>
      <c r="K598" s="2">
        <f t="shared" si="58"/>
        <v>-981.78409031721435</v>
      </c>
      <c r="L598" s="2">
        <f t="shared" si="59"/>
        <v>981.78409031721435</v>
      </c>
    </row>
    <row r="599" spans="1:12" x14ac:dyDescent="0.25">
      <c r="A599">
        <v>597</v>
      </c>
      <c r="B599" s="1">
        <v>1192</v>
      </c>
      <c r="C599" s="1">
        <v>1962.7898512066949</v>
      </c>
      <c r="D599">
        <f t="shared" si="55"/>
        <v>-981.39492560334747</v>
      </c>
      <c r="E599">
        <f t="shared" si="56"/>
        <v>981.39492560334747</v>
      </c>
      <c r="F599" s="7">
        <f t="shared" si="60"/>
        <v>1952371.0912074468</v>
      </c>
      <c r="G599" s="2">
        <f t="shared" si="57"/>
        <v>1192</v>
      </c>
      <c r="J599" s="2">
        <v>1962.7898512066949</v>
      </c>
      <c r="K599" s="2">
        <f t="shared" si="58"/>
        <v>-981.39492560334747</v>
      </c>
      <c r="L599" s="2">
        <f t="shared" si="59"/>
        <v>981.39492560334747</v>
      </c>
    </row>
    <row r="600" spans="1:12" x14ac:dyDescent="0.25">
      <c r="A600">
        <v>598</v>
      </c>
      <c r="B600" s="1">
        <v>1194</v>
      </c>
      <c r="C600" s="1">
        <v>1962.0030581015922</v>
      </c>
      <c r="D600">
        <f t="shared" si="55"/>
        <v>-981.00152905079608</v>
      </c>
      <c r="E600">
        <f t="shared" si="56"/>
        <v>981.00152905079608</v>
      </c>
      <c r="F600" s="7">
        <f t="shared" si="60"/>
        <v>1956295.8841167551</v>
      </c>
      <c r="G600" s="2">
        <f t="shared" si="57"/>
        <v>1194</v>
      </c>
      <c r="J600" s="2">
        <v>1962.0030581015922</v>
      </c>
      <c r="K600" s="2">
        <f t="shared" si="58"/>
        <v>-981.00152905079608</v>
      </c>
      <c r="L600" s="2">
        <f t="shared" si="59"/>
        <v>981.00152905079608</v>
      </c>
    </row>
    <row r="601" spans="1:12" x14ac:dyDescent="0.25">
      <c r="A601">
        <v>599</v>
      </c>
      <c r="B601" s="1">
        <v>1196</v>
      </c>
      <c r="C601" s="1">
        <v>1961.2077911328008</v>
      </c>
      <c r="D601">
        <f t="shared" si="55"/>
        <v>-980.60389556640041</v>
      </c>
      <c r="E601">
        <f t="shared" si="56"/>
        <v>980.60389556640041</v>
      </c>
      <c r="F601" s="7">
        <f t="shared" si="60"/>
        <v>1960219.0949659895</v>
      </c>
      <c r="G601" s="2">
        <f t="shared" si="57"/>
        <v>1196</v>
      </c>
      <c r="J601" s="2">
        <v>1961.2077911328008</v>
      </c>
      <c r="K601" s="2">
        <f t="shared" si="58"/>
        <v>-980.60389556640041</v>
      </c>
      <c r="L601" s="2">
        <f t="shared" si="59"/>
        <v>980.60389556640041</v>
      </c>
    </row>
    <row r="602" spans="1:12" x14ac:dyDescent="0.25">
      <c r="A602">
        <v>600</v>
      </c>
      <c r="B602" s="1">
        <v>1198</v>
      </c>
      <c r="C602" s="1">
        <v>1960.4040399876756</v>
      </c>
      <c r="D602">
        <f t="shared" si="55"/>
        <v>-980.20201999383778</v>
      </c>
      <c r="E602">
        <f t="shared" si="56"/>
        <v>980.20201999383778</v>
      </c>
      <c r="F602" s="7">
        <f t="shared" si="60"/>
        <v>1964140.7067971099</v>
      </c>
      <c r="G602" s="2">
        <f t="shared" si="57"/>
        <v>1198</v>
      </c>
      <c r="J602" s="2">
        <v>1960.4040399876756</v>
      </c>
      <c r="K602" s="2">
        <f t="shared" si="58"/>
        <v>-980.20201999383778</v>
      </c>
      <c r="L602" s="2">
        <f t="shared" si="59"/>
        <v>980.20201999383778</v>
      </c>
    </row>
    <row r="603" spans="1:12" x14ac:dyDescent="0.25">
      <c r="A603">
        <v>601</v>
      </c>
      <c r="B603" s="1">
        <v>1200</v>
      </c>
      <c r="C603" s="1">
        <v>1959.5917942265426</v>
      </c>
      <c r="D603">
        <f t="shared" si="55"/>
        <v>-979.79589711327128</v>
      </c>
      <c r="E603">
        <f t="shared" si="56"/>
        <v>979.79589711327128</v>
      </c>
      <c r="F603" s="7">
        <f t="shared" si="60"/>
        <v>1968060.7026313241</v>
      </c>
      <c r="G603" s="2">
        <f t="shared" si="57"/>
        <v>1200</v>
      </c>
      <c r="J603" s="2">
        <v>1959.5917942265426</v>
      </c>
      <c r="K603" s="2">
        <f t="shared" si="58"/>
        <v>-979.79589711327128</v>
      </c>
      <c r="L603" s="2">
        <f t="shared" si="59"/>
        <v>979.79589711327128</v>
      </c>
    </row>
    <row r="604" spans="1:12" x14ac:dyDescent="0.25">
      <c r="A604">
        <v>602</v>
      </c>
      <c r="B604" s="1">
        <v>1202</v>
      </c>
      <c r="C604" s="1">
        <v>1958.7710432819861</v>
      </c>
      <c r="D604">
        <f t="shared" si="55"/>
        <v>-979.38552164099303</v>
      </c>
      <c r="E604">
        <f t="shared" si="56"/>
        <v>979.38552164099303</v>
      </c>
      <c r="F604" s="7">
        <f t="shared" si="60"/>
        <v>1971979.0654688326</v>
      </c>
      <c r="G604" s="2">
        <f t="shared" si="57"/>
        <v>1202</v>
      </c>
      <c r="J604" s="2">
        <v>1958.7710432819861</v>
      </c>
      <c r="K604" s="2">
        <f t="shared" si="58"/>
        <v>-979.38552164099303</v>
      </c>
      <c r="L604" s="2">
        <f t="shared" si="59"/>
        <v>979.38552164099303</v>
      </c>
    </row>
    <row r="605" spans="1:12" x14ac:dyDescent="0.25">
      <c r="A605">
        <v>603</v>
      </c>
      <c r="B605" s="1">
        <v>1204</v>
      </c>
      <c r="C605" s="1">
        <v>1957.9417764581253</v>
      </c>
      <c r="D605">
        <f t="shared" si="55"/>
        <v>-978.97088822906267</v>
      </c>
      <c r="E605">
        <f t="shared" si="56"/>
        <v>978.97088822906267</v>
      </c>
      <c r="F605" s="7">
        <f t="shared" si="60"/>
        <v>1975895.7782885728</v>
      </c>
      <c r="G605" s="2">
        <f t="shared" si="57"/>
        <v>1204</v>
      </c>
      <c r="J605" s="2">
        <v>1957.9417764581253</v>
      </c>
      <c r="K605" s="2">
        <f t="shared" si="58"/>
        <v>-978.97088822906267</v>
      </c>
      <c r="L605" s="2">
        <f t="shared" si="59"/>
        <v>978.97088822906267</v>
      </c>
    </row>
    <row r="606" spans="1:12" x14ac:dyDescent="0.25">
      <c r="A606">
        <v>604</v>
      </c>
      <c r="B606" s="1">
        <v>1206</v>
      </c>
      <c r="C606" s="1">
        <v>1957.10398292988</v>
      </c>
      <c r="D606">
        <f t="shared" si="55"/>
        <v>-978.55199146493999</v>
      </c>
      <c r="E606">
        <f t="shared" si="56"/>
        <v>978.55199146493999</v>
      </c>
      <c r="F606" s="7">
        <f t="shared" si="60"/>
        <v>1979810.8240479608</v>
      </c>
      <c r="G606" s="2">
        <f t="shared" si="57"/>
        <v>1206</v>
      </c>
      <c r="J606" s="2">
        <v>1957.10398292988</v>
      </c>
      <c r="K606" s="2">
        <f t="shared" si="58"/>
        <v>-978.55199146493999</v>
      </c>
      <c r="L606" s="2">
        <f t="shared" si="59"/>
        <v>978.55199146493999</v>
      </c>
    </row>
    <row r="607" spans="1:12" x14ac:dyDescent="0.25">
      <c r="A607">
        <v>605</v>
      </c>
      <c r="B607" s="1">
        <v>1208</v>
      </c>
      <c r="C607" s="1">
        <v>1956.257651742224</v>
      </c>
      <c r="D607">
        <f t="shared" si="55"/>
        <v>-978.12882587111199</v>
      </c>
      <c r="E607">
        <f t="shared" si="56"/>
        <v>978.12882587111199</v>
      </c>
      <c r="F607" s="7">
        <f t="shared" si="60"/>
        <v>1983724.185682633</v>
      </c>
      <c r="G607" s="2">
        <f t="shared" si="57"/>
        <v>1208</v>
      </c>
      <c r="J607" s="2">
        <v>1956.257651742224</v>
      </c>
      <c r="K607" s="2">
        <f t="shared" si="58"/>
        <v>-978.12882587111199</v>
      </c>
      <c r="L607" s="2">
        <f t="shared" si="59"/>
        <v>978.12882587111199</v>
      </c>
    </row>
    <row r="608" spans="1:12" x14ac:dyDescent="0.25">
      <c r="A608">
        <v>606</v>
      </c>
      <c r="B608" s="1">
        <v>1210</v>
      </c>
      <c r="C608" s="1">
        <v>1955.4027718094296</v>
      </c>
      <c r="D608">
        <f t="shared" si="55"/>
        <v>-977.70138590471481</v>
      </c>
      <c r="E608">
        <f t="shared" si="56"/>
        <v>977.70138590471481</v>
      </c>
      <c r="F608" s="7">
        <f t="shared" si="60"/>
        <v>1987635.8461061846</v>
      </c>
      <c r="G608" s="2">
        <f t="shared" si="57"/>
        <v>1210</v>
      </c>
      <c r="J608" s="2">
        <v>1955.4027718094296</v>
      </c>
      <c r="K608" s="2">
        <f t="shared" si="58"/>
        <v>-977.70138590471481</v>
      </c>
      <c r="L608" s="2">
        <f t="shared" si="59"/>
        <v>977.70138590471481</v>
      </c>
    </row>
    <row r="609" spans="1:12" x14ac:dyDescent="0.25">
      <c r="A609">
        <v>607</v>
      </c>
      <c r="B609" s="1">
        <v>1212</v>
      </c>
      <c r="C609" s="1">
        <v>1954.5393319143004</v>
      </c>
      <c r="D609">
        <f t="shared" si="55"/>
        <v>-977.26966595715021</v>
      </c>
      <c r="E609">
        <f t="shared" si="56"/>
        <v>977.26966595715021</v>
      </c>
      <c r="F609" s="7">
        <f t="shared" si="60"/>
        <v>1991545.7882099084</v>
      </c>
      <c r="G609" s="2">
        <f t="shared" si="57"/>
        <v>1212</v>
      </c>
      <c r="J609" s="2">
        <v>1954.5393319143004</v>
      </c>
      <c r="K609" s="2">
        <f t="shared" si="58"/>
        <v>-977.26966595715021</v>
      </c>
      <c r="L609" s="2">
        <f t="shared" si="59"/>
        <v>977.26966595715021</v>
      </c>
    </row>
    <row r="610" spans="1:12" x14ac:dyDescent="0.25">
      <c r="A610">
        <v>608</v>
      </c>
      <c r="B610" s="1">
        <v>1214</v>
      </c>
      <c r="C610" s="1">
        <v>1953.667320707392</v>
      </c>
      <c r="D610">
        <f t="shared" si="55"/>
        <v>-976.83366035369602</v>
      </c>
      <c r="E610">
        <f t="shared" si="56"/>
        <v>976.83366035369602</v>
      </c>
      <c r="F610" s="7">
        <f t="shared" si="60"/>
        <v>1995453.9948625301</v>
      </c>
      <c r="G610" s="2">
        <f t="shared" si="57"/>
        <v>1214</v>
      </c>
      <c r="J610" s="2">
        <v>1953.667320707392</v>
      </c>
      <c r="K610" s="2">
        <f t="shared" si="58"/>
        <v>-976.83366035369602</v>
      </c>
      <c r="L610" s="2">
        <f t="shared" si="59"/>
        <v>976.83366035369602</v>
      </c>
    </row>
    <row r="611" spans="1:12" x14ac:dyDescent="0.25">
      <c r="A611">
        <v>609</v>
      </c>
      <c r="B611" s="1">
        <v>1216</v>
      </c>
      <c r="C611" s="1">
        <v>1952.7867267062218</v>
      </c>
      <c r="D611">
        <f t="shared" si="55"/>
        <v>-976.39336335311089</v>
      </c>
      <c r="E611">
        <f t="shared" si="56"/>
        <v>976.39336335311089</v>
      </c>
      <c r="F611" s="7">
        <f t="shared" si="60"/>
        <v>1999360.4489099437</v>
      </c>
      <c r="G611" s="2">
        <f t="shared" si="57"/>
        <v>1216</v>
      </c>
      <c r="J611" s="2">
        <v>1952.7867267062218</v>
      </c>
      <c r="K611" s="2">
        <f t="shared" si="58"/>
        <v>-976.39336335311089</v>
      </c>
      <c r="L611" s="2">
        <f t="shared" si="59"/>
        <v>976.39336335311089</v>
      </c>
    </row>
    <row r="612" spans="1:12" x14ac:dyDescent="0.25">
      <c r="A612">
        <v>610</v>
      </c>
      <c r="B612" s="1">
        <v>1218</v>
      </c>
      <c r="C612" s="1">
        <v>1951.897538294467</v>
      </c>
      <c r="D612">
        <f t="shared" si="55"/>
        <v>-975.94876914723352</v>
      </c>
      <c r="E612">
        <f t="shared" si="56"/>
        <v>975.94876914723352</v>
      </c>
      <c r="F612" s="7">
        <f t="shared" si="60"/>
        <v>2003265.1331749444</v>
      </c>
      <c r="G612" s="2">
        <f t="shared" si="57"/>
        <v>1218</v>
      </c>
      <c r="J612" s="2">
        <v>1951.897538294467</v>
      </c>
      <c r="K612" s="2">
        <f t="shared" si="58"/>
        <v>-975.94876914723352</v>
      </c>
      <c r="L612" s="2">
        <f t="shared" si="59"/>
        <v>975.94876914723352</v>
      </c>
    </row>
    <row r="613" spans="1:12" x14ac:dyDescent="0.25">
      <c r="A613">
        <v>611</v>
      </c>
      <c r="B613" s="1">
        <v>1220</v>
      </c>
      <c r="C613" s="1">
        <v>1950.9997437211518</v>
      </c>
      <c r="D613">
        <f t="shared" si="55"/>
        <v>-975.49987186057592</v>
      </c>
      <c r="E613">
        <f t="shared" si="56"/>
        <v>975.49987186057592</v>
      </c>
      <c r="F613" s="7">
        <f t="shared" si="60"/>
        <v>2007168.03045696</v>
      </c>
      <c r="G613" s="2">
        <f t="shared" si="57"/>
        <v>1220</v>
      </c>
      <c r="J613" s="2">
        <v>1950.9997437211518</v>
      </c>
      <c r="K613" s="2">
        <f t="shared" si="58"/>
        <v>-975.49987186057592</v>
      </c>
      <c r="L613" s="2">
        <f t="shared" si="59"/>
        <v>975.49987186057592</v>
      </c>
    </row>
    <row r="614" spans="1:12" x14ac:dyDescent="0.25">
      <c r="A614">
        <v>612</v>
      </c>
      <c r="B614" s="1">
        <v>1222</v>
      </c>
      <c r="C614" s="1">
        <v>1950.0933310998221</v>
      </c>
      <c r="D614">
        <f t="shared" si="55"/>
        <v>-975.04666554991104</v>
      </c>
      <c r="E614">
        <f t="shared" si="56"/>
        <v>975.04666554991104</v>
      </c>
      <c r="F614" s="7">
        <f t="shared" si="60"/>
        <v>2011069.1235317809</v>
      </c>
      <c r="G614" s="2">
        <f t="shared" si="57"/>
        <v>1222</v>
      </c>
      <c r="J614" s="2">
        <v>1950.0933310998221</v>
      </c>
      <c r="K614" s="2">
        <f t="shared" si="58"/>
        <v>-975.04666554991104</v>
      </c>
      <c r="L614" s="2">
        <f t="shared" si="59"/>
        <v>975.04666554991104</v>
      </c>
    </row>
    <row r="615" spans="1:12" x14ac:dyDescent="0.25">
      <c r="A615">
        <v>613</v>
      </c>
      <c r="B615" s="1">
        <v>1224</v>
      </c>
      <c r="C615" s="1">
        <v>1949.1782884077074</v>
      </c>
      <c r="D615">
        <f t="shared" si="55"/>
        <v>-974.58914420385372</v>
      </c>
      <c r="E615">
        <f t="shared" si="56"/>
        <v>974.58914420385372</v>
      </c>
      <c r="F615" s="7">
        <f t="shared" si="60"/>
        <v>2014968.3951512885</v>
      </c>
      <c r="G615" s="2">
        <f t="shared" si="57"/>
        <v>1224</v>
      </c>
      <c r="J615" s="2">
        <v>1949.1782884077074</v>
      </c>
      <c r="K615" s="2">
        <f t="shared" si="58"/>
        <v>-974.58914420385372</v>
      </c>
      <c r="L615" s="2">
        <f t="shared" si="59"/>
        <v>974.58914420385372</v>
      </c>
    </row>
    <row r="616" spans="1:12" x14ac:dyDescent="0.25">
      <c r="A616">
        <v>614</v>
      </c>
      <c r="B616" s="1">
        <v>1226</v>
      </c>
      <c r="C616" s="1">
        <v>1948.2546034848731</v>
      </c>
      <c r="D616">
        <f t="shared" si="55"/>
        <v>-974.12730174243654</v>
      </c>
      <c r="E616">
        <f t="shared" si="56"/>
        <v>974.12730174243654</v>
      </c>
      <c r="F616" s="7">
        <f t="shared" si="60"/>
        <v>2018865.828043181</v>
      </c>
      <c r="G616" s="2">
        <f t="shared" si="57"/>
        <v>1226</v>
      </c>
      <c r="J616" s="2">
        <v>1948.2546034848731</v>
      </c>
      <c r="K616" s="2">
        <f t="shared" si="58"/>
        <v>-974.12730174243654</v>
      </c>
      <c r="L616" s="2">
        <f t="shared" si="59"/>
        <v>974.12730174243654</v>
      </c>
    </row>
    <row r="617" spans="1:12" x14ac:dyDescent="0.25">
      <c r="A617">
        <v>615</v>
      </c>
      <c r="B617" s="1">
        <v>1228</v>
      </c>
      <c r="C617" s="1">
        <v>1947.3222640333572</v>
      </c>
      <c r="D617">
        <f t="shared" si="55"/>
        <v>-973.66113201667861</v>
      </c>
      <c r="E617">
        <f t="shared" si="56"/>
        <v>973.66113201667861</v>
      </c>
      <c r="F617" s="7">
        <f t="shared" si="60"/>
        <v>2022761.4049106992</v>
      </c>
      <c r="G617" s="2">
        <f t="shared" si="57"/>
        <v>1228</v>
      </c>
      <c r="J617" s="2">
        <v>1947.3222640333572</v>
      </c>
      <c r="K617" s="2">
        <f t="shared" si="58"/>
        <v>-973.66113201667861</v>
      </c>
      <c r="L617" s="2">
        <f t="shared" si="59"/>
        <v>973.66113201667861</v>
      </c>
    </row>
    <row r="618" spans="1:12" x14ac:dyDescent="0.25">
      <c r="A618">
        <v>616</v>
      </c>
      <c r="B618" s="1">
        <v>1230</v>
      </c>
      <c r="C618" s="1">
        <v>1946.3812576162975</v>
      </c>
      <c r="D618">
        <f t="shared" si="55"/>
        <v>-973.19062880814874</v>
      </c>
      <c r="E618">
        <f t="shared" si="56"/>
        <v>973.19062880814874</v>
      </c>
      <c r="F618" s="7">
        <f t="shared" si="60"/>
        <v>2026655.1084323488</v>
      </c>
      <c r="G618" s="2">
        <f t="shared" si="57"/>
        <v>1230</v>
      </c>
      <c r="J618" s="2">
        <v>1946.3812576162975</v>
      </c>
      <c r="K618" s="2">
        <f t="shared" si="58"/>
        <v>-973.19062880814874</v>
      </c>
      <c r="L618" s="2">
        <f t="shared" si="59"/>
        <v>973.19062880814874</v>
      </c>
    </row>
    <row r="619" spans="1:12" x14ac:dyDescent="0.25">
      <c r="A619">
        <v>617</v>
      </c>
      <c r="B619" s="1">
        <v>1232</v>
      </c>
      <c r="C619" s="1">
        <v>1945.431571657045</v>
      </c>
      <c r="D619">
        <f t="shared" si="55"/>
        <v>-972.71578582852248</v>
      </c>
      <c r="E619">
        <f t="shared" si="56"/>
        <v>972.71578582852248</v>
      </c>
      <c r="F619" s="7">
        <f t="shared" si="60"/>
        <v>2030546.9212616221</v>
      </c>
      <c r="G619" s="2">
        <f t="shared" si="57"/>
        <v>1232</v>
      </c>
      <c r="J619" s="2">
        <v>1945.431571657045</v>
      </c>
      <c r="K619" s="2">
        <f t="shared" si="58"/>
        <v>-972.71578582852248</v>
      </c>
      <c r="L619" s="2">
        <f t="shared" si="59"/>
        <v>972.71578582852248</v>
      </c>
    </row>
    <row r="620" spans="1:12" x14ac:dyDescent="0.25">
      <c r="A620">
        <v>618</v>
      </c>
      <c r="B620" s="1">
        <v>1234</v>
      </c>
      <c r="C620" s="1">
        <v>1944.4731934382639</v>
      </c>
      <c r="D620">
        <f t="shared" si="55"/>
        <v>-972.23659671913197</v>
      </c>
      <c r="E620">
        <f t="shared" si="56"/>
        <v>972.23659671913197</v>
      </c>
      <c r="F620" s="7">
        <f t="shared" si="60"/>
        <v>2034436.8260267174</v>
      </c>
      <c r="G620" s="2">
        <f t="shared" si="57"/>
        <v>1234</v>
      </c>
      <c r="J620" s="2">
        <v>1944.4731934382639</v>
      </c>
      <c r="K620" s="2">
        <f t="shared" si="58"/>
        <v>-972.23659671913197</v>
      </c>
      <c r="L620" s="2">
        <f t="shared" si="59"/>
        <v>972.23659671913197</v>
      </c>
    </row>
    <row r="621" spans="1:12" x14ac:dyDescent="0.25">
      <c r="A621">
        <v>619</v>
      </c>
      <c r="B621" s="1">
        <v>1236</v>
      </c>
      <c r="C621" s="1">
        <v>1943.5061101010206</v>
      </c>
      <c r="D621">
        <f t="shared" si="55"/>
        <v>-971.75305505051028</v>
      </c>
      <c r="E621">
        <f t="shared" si="56"/>
        <v>971.75305505051028</v>
      </c>
      <c r="F621" s="7">
        <f t="shared" si="60"/>
        <v>2038324.8053302567</v>
      </c>
      <c r="G621" s="2">
        <f t="shared" si="57"/>
        <v>1236</v>
      </c>
      <c r="J621" s="2">
        <v>1943.5061101010206</v>
      </c>
      <c r="K621" s="2">
        <f t="shared" si="58"/>
        <v>-971.75305505051028</v>
      </c>
      <c r="L621" s="2">
        <f t="shared" si="59"/>
        <v>971.75305505051028</v>
      </c>
    </row>
    <row r="622" spans="1:12" x14ac:dyDescent="0.25">
      <c r="A622">
        <v>620</v>
      </c>
      <c r="B622" s="1">
        <v>1238</v>
      </c>
      <c r="C622" s="1">
        <v>1942.5303086438573</v>
      </c>
      <c r="D622">
        <f t="shared" si="55"/>
        <v>-971.26515432192866</v>
      </c>
      <c r="E622">
        <f t="shared" si="56"/>
        <v>971.26515432192866</v>
      </c>
      <c r="F622" s="7">
        <f t="shared" si="60"/>
        <v>2042210.8417490015</v>
      </c>
      <c r="G622" s="2">
        <f t="shared" si="57"/>
        <v>1238</v>
      </c>
      <c r="J622" s="2">
        <v>1942.5303086438573</v>
      </c>
      <c r="K622" s="2">
        <f t="shared" si="58"/>
        <v>-971.26515432192866</v>
      </c>
      <c r="L622" s="2">
        <f t="shared" si="59"/>
        <v>971.26515432192866</v>
      </c>
    </row>
    <row r="623" spans="1:12" x14ac:dyDescent="0.25">
      <c r="A623">
        <v>621</v>
      </c>
      <c r="B623" s="1">
        <v>1240</v>
      </c>
      <c r="C623" s="1">
        <v>1941.5457759218555</v>
      </c>
      <c r="D623">
        <f t="shared" si="55"/>
        <v>-970.77288796092773</v>
      </c>
      <c r="E623">
        <f t="shared" si="56"/>
        <v>970.77288796092773</v>
      </c>
      <c r="F623" s="7">
        <f t="shared" si="60"/>
        <v>2046094.9178335671</v>
      </c>
      <c r="G623" s="2">
        <f t="shared" si="57"/>
        <v>1240</v>
      </c>
      <c r="J623" s="2">
        <v>1941.5457759218555</v>
      </c>
      <c r="K623" s="2">
        <f t="shared" si="58"/>
        <v>-970.77288796092773</v>
      </c>
      <c r="L623" s="2">
        <f t="shared" si="59"/>
        <v>970.77288796092773</v>
      </c>
    </row>
    <row r="624" spans="1:12" x14ac:dyDescent="0.25">
      <c r="A624">
        <v>622</v>
      </c>
      <c r="B624" s="1">
        <v>1242</v>
      </c>
      <c r="C624" s="1">
        <v>1940.5524986456821</v>
      </c>
      <c r="D624">
        <f t="shared" si="55"/>
        <v>-970.27624932284107</v>
      </c>
      <c r="E624">
        <f t="shared" si="56"/>
        <v>970.27624932284107</v>
      </c>
      <c r="F624" s="7">
        <f t="shared" si="60"/>
        <v>2049977.0161081348</v>
      </c>
      <c r="G624" s="2">
        <f t="shared" si="57"/>
        <v>1242</v>
      </c>
      <c r="J624" s="2">
        <v>1940.5524986456821</v>
      </c>
      <c r="K624" s="2">
        <f t="shared" si="58"/>
        <v>-970.27624932284107</v>
      </c>
      <c r="L624" s="2">
        <f t="shared" si="59"/>
        <v>970.27624932284107</v>
      </c>
    </row>
    <row r="625" spans="1:12" x14ac:dyDescent="0.25">
      <c r="A625">
        <v>623</v>
      </c>
      <c r="B625" s="1">
        <v>1244</v>
      </c>
      <c r="C625" s="1">
        <v>1939.5504633806258</v>
      </c>
      <c r="D625">
        <f t="shared" si="55"/>
        <v>-969.77523169031292</v>
      </c>
      <c r="E625">
        <f t="shared" si="56"/>
        <v>969.77523169031292</v>
      </c>
      <c r="F625" s="7">
        <f t="shared" si="60"/>
        <v>2053857.1190701611</v>
      </c>
      <c r="G625" s="2">
        <f t="shared" si="57"/>
        <v>1244</v>
      </c>
      <c r="J625" s="2">
        <v>1939.5504633806258</v>
      </c>
      <c r="K625" s="2">
        <f t="shared" si="58"/>
        <v>-969.77523169031292</v>
      </c>
      <c r="L625" s="2">
        <f t="shared" si="59"/>
        <v>969.77523169031292</v>
      </c>
    </row>
    <row r="626" spans="1:12" x14ac:dyDescent="0.25">
      <c r="A626">
        <v>624</v>
      </c>
      <c r="B626" s="1">
        <v>1246</v>
      </c>
      <c r="C626" s="1">
        <v>1938.5396565456174</v>
      </c>
      <c r="D626">
        <f t="shared" si="55"/>
        <v>-969.2698282728087</v>
      </c>
      <c r="E626">
        <f t="shared" si="56"/>
        <v>969.2698282728087</v>
      </c>
      <c r="F626" s="7">
        <f t="shared" si="60"/>
        <v>2057735.2091900874</v>
      </c>
      <c r="G626" s="2">
        <f t="shared" si="57"/>
        <v>1246</v>
      </c>
      <c r="J626" s="2">
        <v>1938.5396565456174</v>
      </c>
      <c r="K626" s="2">
        <f t="shared" si="58"/>
        <v>-969.2698282728087</v>
      </c>
      <c r="L626" s="2">
        <f t="shared" si="59"/>
        <v>969.2698282728087</v>
      </c>
    </row>
    <row r="627" spans="1:12" x14ac:dyDescent="0.25">
      <c r="A627">
        <v>625</v>
      </c>
      <c r="B627" s="1">
        <v>1248</v>
      </c>
      <c r="C627" s="1">
        <v>1937.5200644122372</v>
      </c>
      <c r="D627">
        <f t="shared" si="55"/>
        <v>-968.76003220611858</v>
      </c>
      <c r="E627">
        <f t="shared" si="56"/>
        <v>968.76003220611858</v>
      </c>
      <c r="F627" s="7">
        <f t="shared" si="60"/>
        <v>2061611.2689110453</v>
      </c>
      <c r="G627" s="2">
        <f t="shared" si="57"/>
        <v>1248</v>
      </c>
      <c r="J627" s="2">
        <v>1937.5200644122372</v>
      </c>
      <c r="K627" s="2">
        <f t="shared" si="58"/>
        <v>-968.76003220611858</v>
      </c>
      <c r="L627" s="2">
        <f t="shared" si="59"/>
        <v>968.76003220611858</v>
      </c>
    </row>
    <row r="628" spans="1:12" x14ac:dyDescent="0.25">
      <c r="A628">
        <v>626</v>
      </c>
      <c r="B628" s="1">
        <v>1250</v>
      </c>
      <c r="C628" s="1">
        <v>1936.4916731037085</v>
      </c>
      <c r="D628">
        <f t="shared" si="55"/>
        <v>-968.24583655185427</v>
      </c>
      <c r="E628">
        <f t="shared" si="56"/>
        <v>968.24583655185427</v>
      </c>
      <c r="F628" s="7">
        <f t="shared" si="60"/>
        <v>2065485.2806485612</v>
      </c>
      <c r="G628" s="2">
        <f t="shared" si="57"/>
        <v>1250</v>
      </c>
      <c r="J628" s="2">
        <v>1936.4916731037085</v>
      </c>
      <c r="K628" s="2">
        <f t="shared" si="58"/>
        <v>-968.24583655185427</v>
      </c>
      <c r="L628" s="2">
        <f t="shared" si="59"/>
        <v>968.24583655185427</v>
      </c>
    </row>
    <row r="629" spans="1:12" x14ac:dyDescent="0.25">
      <c r="A629">
        <v>627</v>
      </c>
      <c r="B629" s="1">
        <v>1252</v>
      </c>
      <c r="C629" s="1">
        <v>1935.4544685938752</v>
      </c>
      <c r="D629">
        <f t="shared" si="55"/>
        <v>-967.72723429693758</v>
      </c>
      <c r="E629">
        <f t="shared" si="56"/>
        <v>967.72723429693758</v>
      </c>
      <c r="F629" s="7">
        <f t="shared" si="60"/>
        <v>2069357.2267902589</v>
      </c>
      <c r="G629" s="2">
        <f t="shared" si="57"/>
        <v>1252</v>
      </c>
      <c r="J629" s="2">
        <v>1935.4544685938752</v>
      </c>
      <c r="K629" s="2">
        <f t="shared" si="58"/>
        <v>-967.72723429693758</v>
      </c>
      <c r="L629" s="2">
        <f t="shared" si="59"/>
        <v>967.72723429693758</v>
      </c>
    </row>
    <row r="630" spans="1:12" x14ac:dyDescent="0.25">
      <c r="A630">
        <v>628</v>
      </c>
      <c r="B630" s="1">
        <v>1254</v>
      </c>
      <c r="C630" s="1">
        <v>1934.4084367061678</v>
      </c>
      <c r="D630">
        <f t="shared" si="55"/>
        <v>-967.20421835308389</v>
      </c>
      <c r="E630">
        <f t="shared" si="56"/>
        <v>967.20421835308389</v>
      </c>
      <c r="F630" s="7">
        <f t="shared" si="60"/>
        <v>2073227.0896955589</v>
      </c>
      <c r="G630" s="2">
        <f t="shared" si="57"/>
        <v>1254</v>
      </c>
      <c r="J630" s="2">
        <v>1934.4084367061678</v>
      </c>
      <c r="K630" s="2">
        <f t="shared" si="58"/>
        <v>-967.20421835308389</v>
      </c>
      <c r="L630" s="2">
        <f t="shared" si="59"/>
        <v>967.20421835308389</v>
      </c>
    </row>
    <row r="631" spans="1:12" x14ac:dyDescent="0.25">
      <c r="A631">
        <v>629</v>
      </c>
      <c r="B631" s="1">
        <v>1256</v>
      </c>
      <c r="C631" s="1">
        <v>1933.3535631125519</v>
      </c>
      <c r="D631">
        <f t="shared" si="55"/>
        <v>-966.67678155627596</v>
      </c>
      <c r="E631">
        <f t="shared" si="56"/>
        <v>966.67678155627596</v>
      </c>
      <c r="F631" s="7">
        <f t="shared" si="60"/>
        <v>2077094.8516953776</v>
      </c>
      <c r="G631" s="2">
        <f t="shared" si="57"/>
        <v>1256</v>
      </c>
      <c r="J631" s="2">
        <v>1933.3535631125519</v>
      </c>
      <c r="K631" s="2">
        <f t="shared" si="58"/>
        <v>-966.67678155627596</v>
      </c>
      <c r="L631" s="2">
        <f t="shared" si="59"/>
        <v>966.67678155627596</v>
      </c>
    </row>
    <row r="632" spans="1:12" x14ac:dyDescent="0.25">
      <c r="A632">
        <v>630</v>
      </c>
      <c r="B632" s="1">
        <v>1258</v>
      </c>
      <c r="C632" s="1">
        <v>1932.2898333324636</v>
      </c>
      <c r="D632">
        <f t="shared" si="55"/>
        <v>-966.14491666623178</v>
      </c>
      <c r="E632">
        <f t="shared" si="56"/>
        <v>966.14491666623178</v>
      </c>
      <c r="F632" s="7">
        <f t="shared" si="60"/>
        <v>2080960.4950918227</v>
      </c>
      <c r="G632" s="2">
        <f t="shared" si="57"/>
        <v>1258</v>
      </c>
      <c r="J632" s="2">
        <v>1932.2898333324636</v>
      </c>
      <c r="K632" s="2">
        <f t="shared" si="58"/>
        <v>-966.14491666623178</v>
      </c>
      <c r="L632" s="2">
        <f t="shared" si="59"/>
        <v>966.14491666623178</v>
      </c>
    </row>
    <row r="633" spans="1:12" x14ac:dyDescent="0.25">
      <c r="A633">
        <v>631</v>
      </c>
      <c r="B633" s="1">
        <v>1260</v>
      </c>
      <c r="C633" s="1">
        <v>1931.2172327317298</v>
      </c>
      <c r="D633">
        <f t="shared" si="55"/>
        <v>-965.60861636586492</v>
      </c>
      <c r="E633">
        <f t="shared" si="56"/>
        <v>965.60861636586492</v>
      </c>
      <c r="F633" s="7">
        <f t="shared" si="60"/>
        <v>2084824.002157887</v>
      </c>
      <c r="G633" s="2">
        <f t="shared" si="57"/>
        <v>1260</v>
      </c>
      <c r="J633" s="2">
        <v>1931.2172327317298</v>
      </c>
      <c r="K633" s="2">
        <f t="shared" si="58"/>
        <v>-965.60861636586492</v>
      </c>
      <c r="L633" s="2">
        <f t="shared" si="59"/>
        <v>965.60861636586492</v>
      </c>
    </row>
    <row r="634" spans="1:12" x14ac:dyDescent="0.25">
      <c r="A634">
        <v>632</v>
      </c>
      <c r="B634" s="1">
        <v>1262</v>
      </c>
      <c r="C634" s="1">
        <v>1930.1357465214719</v>
      </c>
      <c r="D634">
        <f t="shared" si="55"/>
        <v>-965.06787326073595</v>
      </c>
      <c r="E634">
        <f t="shared" si="56"/>
        <v>965.06787326073595</v>
      </c>
      <c r="F634" s="7">
        <f t="shared" si="60"/>
        <v>2088685.3551371403</v>
      </c>
      <c r="G634" s="2">
        <f t="shared" si="57"/>
        <v>1262</v>
      </c>
      <c r="J634" s="2">
        <v>1930.1357465214719</v>
      </c>
      <c r="K634" s="2">
        <f t="shared" si="58"/>
        <v>-965.06787326073595</v>
      </c>
      <c r="L634" s="2">
        <f t="shared" si="59"/>
        <v>965.06787326073595</v>
      </c>
    </row>
    <row r="635" spans="1:12" x14ac:dyDescent="0.25">
      <c r="A635">
        <v>633</v>
      </c>
      <c r="B635" s="1">
        <v>1264</v>
      </c>
      <c r="C635" s="1">
        <v>1929.0453597569965</v>
      </c>
      <c r="D635">
        <f t="shared" si="55"/>
        <v>-964.52267987849825</v>
      </c>
      <c r="E635">
        <f t="shared" si="56"/>
        <v>964.52267987849825</v>
      </c>
      <c r="F635" s="7">
        <f t="shared" si="60"/>
        <v>2092544.5362434187</v>
      </c>
      <c r="G635" s="2">
        <f t="shared" si="57"/>
        <v>1264</v>
      </c>
      <c r="J635" s="2">
        <v>1929.0453597569965</v>
      </c>
      <c r="K635" s="2">
        <f t="shared" si="58"/>
        <v>-964.52267987849825</v>
      </c>
      <c r="L635" s="2">
        <f t="shared" si="59"/>
        <v>964.52267987849825</v>
      </c>
    </row>
    <row r="636" spans="1:12" x14ac:dyDescent="0.25">
      <c r="A636">
        <v>634</v>
      </c>
      <c r="B636" s="1">
        <v>1266</v>
      </c>
      <c r="C636" s="1">
        <v>1927.9460573366673</v>
      </c>
      <c r="D636">
        <f t="shared" si="55"/>
        <v>-963.97302866833365</v>
      </c>
      <c r="E636">
        <f t="shared" si="56"/>
        <v>963.97302866833365</v>
      </c>
      <c r="F636" s="7">
        <f t="shared" si="60"/>
        <v>2096401.5276605124</v>
      </c>
      <c r="G636" s="2">
        <f t="shared" si="57"/>
        <v>1266</v>
      </c>
      <c r="J636" s="2">
        <v>1927.9460573366673</v>
      </c>
      <c r="K636" s="2">
        <f t="shared" si="58"/>
        <v>-963.97302866833365</v>
      </c>
      <c r="L636" s="2">
        <f t="shared" si="59"/>
        <v>963.97302866833365</v>
      </c>
    </row>
    <row r="637" spans="1:12" x14ac:dyDescent="0.25">
      <c r="A637">
        <v>635</v>
      </c>
      <c r="B637" s="1">
        <v>1268</v>
      </c>
      <c r="C637" s="1">
        <v>1926.8378240007642</v>
      </c>
      <c r="D637">
        <f t="shared" si="55"/>
        <v>-963.41891200038208</v>
      </c>
      <c r="E637">
        <f t="shared" si="56"/>
        <v>963.41891200038208</v>
      </c>
      <c r="F637" s="7">
        <f t="shared" si="60"/>
        <v>2100256.3115418497</v>
      </c>
      <c r="G637" s="2">
        <f t="shared" si="57"/>
        <v>1268</v>
      </c>
      <c r="J637" s="2">
        <v>1926.8378240007642</v>
      </c>
      <c r="K637" s="2">
        <f t="shared" si="58"/>
        <v>-963.41891200038208</v>
      </c>
      <c r="L637" s="2">
        <f t="shared" si="59"/>
        <v>963.41891200038208</v>
      </c>
    </row>
    <row r="638" spans="1:12" x14ac:dyDescent="0.25">
      <c r="A638">
        <v>636</v>
      </c>
      <c r="B638" s="1">
        <v>1270</v>
      </c>
      <c r="C638" s="1">
        <v>1925.7206443303244</v>
      </c>
      <c r="D638">
        <f t="shared" si="55"/>
        <v>-962.86032216516219</v>
      </c>
      <c r="E638">
        <f t="shared" si="56"/>
        <v>962.86032216516219</v>
      </c>
      <c r="F638" s="7">
        <f t="shared" si="60"/>
        <v>2104108.8700101809</v>
      </c>
      <c r="G638" s="2">
        <f t="shared" si="57"/>
        <v>1270</v>
      </c>
      <c r="J638" s="2">
        <v>1925.7206443303244</v>
      </c>
      <c r="K638" s="2">
        <f t="shared" si="58"/>
        <v>-962.86032216516219</v>
      </c>
      <c r="L638" s="2">
        <f t="shared" si="59"/>
        <v>962.86032216516219</v>
      </c>
    </row>
    <row r="639" spans="1:12" x14ac:dyDescent="0.25">
      <c r="A639">
        <v>637</v>
      </c>
      <c r="B639" s="1">
        <v>1272</v>
      </c>
      <c r="C639" s="1">
        <v>1924.5945027459682</v>
      </c>
      <c r="D639">
        <f t="shared" si="55"/>
        <v>-962.29725137298408</v>
      </c>
      <c r="E639">
        <f t="shared" si="56"/>
        <v>962.29725137298408</v>
      </c>
      <c r="F639" s="7">
        <f t="shared" si="60"/>
        <v>2107959.1851572571</v>
      </c>
      <c r="G639" s="2">
        <f t="shared" si="57"/>
        <v>1272</v>
      </c>
      <c r="J639" s="2">
        <v>1924.5945027459682</v>
      </c>
      <c r="K639" s="2">
        <f t="shared" si="58"/>
        <v>-962.29725137298408</v>
      </c>
      <c r="L639" s="2">
        <f t="shared" si="59"/>
        <v>962.29725137298408</v>
      </c>
    </row>
    <row r="640" spans="1:12" x14ac:dyDescent="0.25">
      <c r="A640">
        <v>638</v>
      </c>
      <c r="B640" s="1">
        <v>1274</v>
      </c>
      <c r="C640" s="1">
        <v>1923.4593835067067</v>
      </c>
      <c r="D640">
        <f t="shared" si="55"/>
        <v>-961.72969175335334</v>
      </c>
      <c r="E640">
        <f t="shared" si="56"/>
        <v>961.72969175335334</v>
      </c>
      <c r="F640" s="7">
        <f t="shared" si="60"/>
        <v>2111807.2390435096</v>
      </c>
      <c r="G640" s="2">
        <f t="shared" si="57"/>
        <v>1274</v>
      </c>
      <c r="J640" s="2">
        <v>1923.4593835067067</v>
      </c>
      <c r="K640" s="2">
        <f t="shared" si="58"/>
        <v>-961.72969175335334</v>
      </c>
      <c r="L640" s="2">
        <f t="shared" si="59"/>
        <v>961.72969175335334</v>
      </c>
    </row>
    <row r="641" spans="1:12" x14ac:dyDescent="0.25">
      <c r="A641">
        <v>639</v>
      </c>
      <c r="B641" s="1">
        <v>1276</v>
      </c>
      <c r="C641" s="1">
        <v>1922.3152707087359</v>
      </c>
      <c r="D641">
        <f t="shared" si="55"/>
        <v>-961.15763535436793</v>
      </c>
      <c r="E641">
        <f t="shared" si="56"/>
        <v>961.15763535436793</v>
      </c>
      <c r="F641" s="7">
        <f t="shared" si="60"/>
        <v>2115653.0136977253</v>
      </c>
      <c r="G641" s="2">
        <f t="shared" si="57"/>
        <v>1276</v>
      </c>
      <c r="J641" s="2">
        <v>1922.3152707087359</v>
      </c>
      <c r="K641" s="2">
        <f t="shared" si="58"/>
        <v>-961.15763535436793</v>
      </c>
      <c r="L641" s="2">
        <f t="shared" si="59"/>
        <v>961.15763535436793</v>
      </c>
    </row>
    <row r="642" spans="1:12" x14ac:dyDescent="0.25">
      <c r="A642">
        <v>640</v>
      </c>
      <c r="B642" s="1">
        <v>1278</v>
      </c>
      <c r="C642" s="1">
        <v>1921.1621482842097</v>
      </c>
      <c r="D642">
        <f t="shared" si="55"/>
        <v>-960.58107414210485</v>
      </c>
      <c r="E642">
        <f t="shared" si="56"/>
        <v>960.58107414210485</v>
      </c>
      <c r="F642" s="7">
        <f t="shared" si="60"/>
        <v>2119496.4911167184</v>
      </c>
      <c r="G642" s="2">
        <f t="shared" si="57"/>
        <v>1278</v>
      </c>
      <c r="J642" s="2">
        <v>1921.1621482842097</v>
      </c>
      <c r="K642" s="2">
        <f t="shared" si="58"/>
        <v>-960.58107414210485</v>
      </c>
      <c r="L642" s="2">
        <f t="shared" si="59"/>
        <v>960.58107414210485</v>
      </c>
    </row>
    <row r="643" spans="1:12" x14ac:dyDescent="0.25">
      <c r="A643">
        <v>641</v>
      </c>
      <c r="B643" s="1">
        <v>1280</v>
      </c>
      <c r="C643" s="1">
        <v>1920</v>
      </c>
      <c r="D643">
        <f t="shared" si="55"/>
        <v>-960</v>
      </c>
      <c r="E643">
        <f t="shared" si="56"/>
        <v>960</v>
      </c>
      <c r="F643" s="7">
        <f t="shared" si="60"/>
        <v>2123337.6532650026</v>
      </c>
      <c r="G643" s="2">
        <f t="shared" si="57"/>
        <v>1280</v>
      </c>
      <c r="J643" s="2">
        <v>1920</v>
      </c>
      <c r="K643" s="2">
        <f t="shared" si="58"/>
        <v>-960</v>
      </c>
      <c r="L643" s="2">
        <f t="shared" si="59"/>
        <v>960</v>
      </c>
    </row>
    <row r="644" spans="1:12" x14ac:dyDescent="0.25">
      <c r="A644">
        <v>642</v>
      </c>
      <c r="B644" s="1">
        <v>1282</v>
      </c>
      <c r="C644" s="1">
        <v>1918.828809456435</v>
      </c>
      <c r="D644">
        <f t="shared" ref="D644:D707" si="61">IF(A644&lt;=COUNT(B:B),-1*C644/2,NA())</f>
        <v>-959.41440472821751</v>
      </c>
      <c r="E644">
        <f t="shared" ref="E644:E707" si="62">IF(A644&lt;=COUNT(B:B),C644/2,NA())</f>
        <v>959.41440472821751</v>
      </c>
      <c r="F644" s="7">
        <f t="shared" si="60"/>
        <v>2127176.4820744591</v>
      </c>
      <c r="G644" s="2">
        <f t="shared" ref="G644:G707" si="63">B644-$B$3</f>
        <v>1282</v>
      </c>
      <c r="J644" s="2">
        <v>1918.828809456435</v>
      </c>
      <c r="K644" s="2">
        <f t="shared" ref="K644:K707" si="64">IF(A644&lt;=COUNT(B:B),$J644/2*-1,NA())</f>
        <v>-959.41440472821751</v>
      </c>
      <c r="L644" s="2">
        <f t="shared" ref="L644:L707" si="65">IF(A644&lt;=COUNT(B:B),$J644/2,NA())</f>
        <v>959.41440472821751</v>
      </c>
    </row>
    <row r="645" spans="1:12" x14ac:dyDescent="0.25">
      <c r="A645">
        <v>643</v>
      </c>
      <c r="B645" s="1">
        <v>1284</v>
      </c>
      <c r="C645" s="1">
        <v>1917.6485600860237</v>
      </c>
      <c r="D645">
        <f t="shared" si="61"/>
        <v>-958.82428004301187</v>
      </c>
      <c r="E645">
        <f t="shared" si="62"/>
        <v>958.82428004301187</v>
      </c>
      <c r="F645" s="7">
        <f t="shared" ref="F645:F708" si="66">IF(A644&lt;COUNT(B:B),(($C645+$C644)*(B645-B644)/2)+F644,"")</f>
        <v>2131012.9594440013</v>
      </c>
      <c r="G645" s="2">
        <f t="shared" si="63"/>
        <v>1284</v>
      </c>
      <c r="J645" s="2">
        <v>1917.6485600860237</v>
      </c>
      <c r="K645" s="2">
        <f t="shared" si="64"/>
        <v>-958.82428004301187</v>
      </c>
      <c r="L645" s="2">
        <f t="shared" si="65"/>
        <v>958.82428004301187</v>
      </c>
    </row>
    <row r="646" spans="1:12" x14ac:dyDescent="0.25">
      <c r="A646">
        <v>644</v>
      </c>
      <c r="B646" s="1">
        <v>1286</v>
      </c>
      <c r="C646" s="1">
        <v>1916.4592351521594</v>
      </c>
      <c r="D646">
        <f t="shared" si="61"/>
        <v>-958.2296175760797</v>
      </c>
      <c r="E646">
        <f t="shared" si="62"/>
        <v>958.2296175760797</v>
      </c>
      <c r="F646" s="7">
        <f t="shared" si="66"/>
        <v>2134847.0672392393</v>
      </c>
      <c r="G646" s="2">
        <f t="shared" si="63"/>
        <v>1286</v>
      </c>
      <c r="J646" s="2">
        <v>1916.4592351521594</v>
      </c>
      <c r="K646" s="2">
        <f t="shared" si="64"/>
        <v>-958.2296175760797</v>
      </c>
      <c r="L646" s="2">
        <f t="shared" si="65"/>
        <v>958.2296175760797</v>
      </c>
    </row>
    <row r="647" spans="1:12" x14ac:dyDescent="0.25">
      <c r="A647">
        <v>645</v>
      </c>
      <c r="B647" s="1">
        <v>1288</v>
      </c>
      <c r="C647" s="1">
        <v>1915.2608177478073</v>
      </c>
      <c r="D647">
        <f t="shared" si="61"/>
        <v>-957.63040887390366</v>
      </c>
      <c r="E647">
        <f t="shared" si="62"/>
        <v>957.63040887390366</v>
      </c>
      <c r="F647" s="7">
        <f t="shared" si="66"/>
        <v>2138678.7872921391</v>
      </c>
      <c r="G647" s="2">
        <f t="shared" si="63"/>
        <v>1288</v>
      </c>
      <c r="J647" s="2">
        <v>1915.2608177478073</v>
      </c>
      <c r="K647" s="2">
        <f t="shared" si="64"/>
        <v>-957.63040887390366</v>
      </c>
      <c r="L647" s="2">
        <f t="shared" si="65"/>
        <v>957.63040887390366</v>
      </c>
    </row>
    <row r="648" spans="1:12" x14ac:dyDescent="0.25">
      <c r="A648">
        <v>646</v>
      </c>
      <c r="B648" s="1">
        <v>1290</v>
      </c>
      <c r="C648" s="1">
        <v>1914.0532907941722</v>
      </c>
      <c r="D648">
        <f t="shared" si="61"/>
        <v>-957.0266453970861</v>
      </c>
      <c r="E648">
        <f t="shared" si="62"/>
        <v>957.0266453970861</v>
      </c>
      <c r="F648" s="7">
        <f t="shared" si="66"/>
        <v>2142508.1014006813</v>
      </c>
      <c r="G648" s="2">
        <f t="shared" si="63"/>
        <v>1290</v>
      </c>
      <c r="J648" s="2">
        <v>1914.0532907941722</v>
      </c>
      <c r="K648" s="2">
        <f t="shared" si="64"/>
        <v>-957.0266453970861</v>
      </c>
      <c r="L648" s="2">
        <f t="shared" si="65"/>
        <v>957.0266453970861</v>
      </c>
    </row>
    <row r="649" spans="1:12" x14ac:dyDescent="0.25">
      <c r="A649">
        <v>647</v>
      </c>
      <c r="B649" s="1">
        <v>1292</v>
      </c>
      <c r="C649" s="1">
        <v>1912.8366370393474</v>
      </c>
      <c r="D649">
        <f t="shared" si="61"/>
        <v>-956.41831851967368</v>
      </c>
      <c r="E649">
        <f t="shared" si="62"/>
        <v>956.41831851967368</v>
      </c>
      <c r="F649" s="7">
        <f t="shared" si="66"/>
        <v>2146334.9913285146</v>
      </c>
      <c r="G649" s="2">
        <f t="shared" si="63"/>
        <v>1292</v>
      </c>
      <c r="J649" s="2">
        <v>1912.8366370393474</v>
      </c>
      <c r="K649" s="2">
        <f t="shared" si="64"/>
        <v>-956.41831851967368</v>
      </c>
      <c r="L649" s="2">
        <f t="shared" si="65"/>
        <v>956.41831851967368</v>
      </c>
    </row>
    <row r="650" spans="1:12" x14ac:dyDescent="0.25">
      <c r="A650">
        <v>648</v>
      </c>
      <c r="B650" s="1">
        <v>1294</v>
      </c>
      <c r="C650" s="1">
        <v>1911.6108390569457</v>
      </c>
      <c r="D650">
        <f t="shared" si="61"/>
        <v>-955.80541952847284</v>
      </c>
      <c r="E650">
        <f t="shared" si="62"/>
        <v>955.80541952847284</v>
      </c>
      <c r="F650" s="7">
        <f t="shared" si="66"/>
        <v>2150159.4388046111</v>
      </c>
      <c r="G650" s="2">
        <f t="shared" si="63"/>
        <v>1294</v>
      </c>
      <c r="J650" s="2">
        <v>1911.6108390569457</v>
      </c>
      <c r="K650" s="2">
        <f t="shared" si="64"/>
        <v>-955.80541952847284</v>
      </c>
      <c r="L650" s="2">
        <f t="shared" si="65"/>
        <v>955.80541952847284</v>
      </c>
    </row>
    <row r="651" spans="1:12" x14ac:dyDescent="0.25">
      <c r="A651">
        <v>649</v>
      </c>
      <c r="B651" s="1">
        <v>1296</v>
      </c>
      <c r="C651" s="1">
        <v>1910.3758792447104</v>
      </c>
      <c r="D651">
        <f t="shared" si="61"/>
        <v>-955.1879396223552</v>
      </c>
      <c r="E651">
        <f t="shared" si="62"/>
        <v>955.1879396223552</v>
      </c>
      <c r="F651" s="7">
        <f t="shared" si="66"/>
        <v>2153981.4255229128</v>
      </c>
      <c r="G651" s="2">
        <f t="shared" si="63"/>
        <v>1296</v>
      </c>
      <c r="J651" s="2">
        <v>1910.3758792447104</v>
      </c>
      <c r="K651" s="2">
        <f t="shared" si="64"/>
        <v>-955.1879396223552</v>
      </c>
      <c r="L651" s="2">
        <f t="shared" si="65"/>
        <v>955.1879396223552</v>
      </c>
    </row>
    <row r="652" spans="1:12" x14ac:dyDescent="0.25">
      <c r="A652">
        <v>650</v>
      </c>
      <c r="B652" s="1">
        <v>1298</v>
      </c>
      <c r="C652" s="1">
        <v>1909.131739823106</v>
      </c>
      <c r="D652">
        <f t="shared" si="61"/>
        <v>-954.56586991155302</v>
      </c>
      <c r="E652">
        <f t="shared" si="62"/>
        <v>954.56586991155302</v>
      </c>
      <c r="F652" s="7">
        <f t="shared" si="66"/>
        <v>2157800.9331419808</v>
      </c>
      <c r="G652" s="2">
        <f t="shared" si="63"/>
        <v>1298</v>
      </c>
      <c r="J652" s="2">
        <v>1909.131739823106</v>
      </c>
      <c r="K652" s="2">
        <f t="shared" si="64"/>
        <v>-954.56586991155302</v>
      </c>
      <c r="L652" s="2">
        <f t="shared" si="65"/>
        <v>954.56586991155302</v>
      </c>
    </row>
    <row r="653" spans="1:12" x14ac:dyDescent="0.25">
      <c r="A653">
        <v>651</v>
      </c>
      <c r="B653" s="1">
        <v>1300</v>
      </c>
      <c r="C653" s="1">
        <v>1907.8784028338912</v>
      </c>
      <c r="D653">
        <f t="shared" si="61"/>
        <v>-953.93920141694559</v>
      </c>
      <c r="E653">
        <f t="shared" si="62"/>
        <v>953.93920141694559</v>
      </c>
      <c r="F653" s="7">
        <f t="shared" si="66"/>
        <v>2161617.9432846378</v>
      </c>
      <c r="G653" s="2">
        <f t="shared" si="63"/>
        <v>1300</v>
      </c>
      <c r="J653" s="2">
        <v>1907.8784028338912</v>
      </c>
      <c r="K653" s="2">
        <f t="shared" si="64"/>
        <v>-953.93920141694559</v>
      </c>
      <c r="L653" s="2">
        <f t="shared" si="65"/>
        <v>953.93920141694559</v>
      </c>
    </row>
    <row r="654" spans="1:12" x14ac:dyDescent="0.25">
      <c r="A654">
        <v>652</v>
      </c>
      <c r="B654" s="1">
        <v>1302</v>
      </c>
      <c r="C654" s="1">
        <v>1906.6158501386692</v>
      </c>
      <c r="D654">
        <f t="shared" si="61"/>
        <v>-953.3079250693346</v>
      </c>
      <c r="E654">
        <f t="shared" si="62"/>
        <v>953.3079250693346</v>
      </c>
      <c r="F654" s="7">
        <f t="shared" si="66"/>
        <v>2165432.4375376105</v>
      </c>
      <c r="G654" s="2">
        <f t="shared" si="63"/>
        <v>1302</v>
      </c>
      <c r="J654" s="2">
        <v>1906.6158501386692</v>
      </c>
      <c r="K654" s="2">
        <f t="shared" si="64"/>
        <v>-953.3079250693346</v>
      </c>
      <c r="L654" s="2">
        <f t="shared" si="65"/>
        <v>953.3079250693346</v>
      </c>
    </row>
    <row r="655" spans="1:12" x14ac:dyDescent="0.25">
      <c r="A655">
        <v>653</v>
      </c>
      <c r="B655" s="1">
        <v>1304</v>
      </c>
      <c r="C655" s="1">
        <v>1905.3440634174185</v>
      </c>
      <c r="D655">
        <f t="shared" si="61"/>
        <v>-952.67203170870926</v>
      </c>
      <c r="E655">
        <f t="shared" si="62"/>
        <v>952.67203170870926</v>
      </c>
      <c r="F655" s="7">
        <f t="shared" si="66"/>
        <v>2169244.3974511665</v>
      </c>
      <c r="G655" s="2">
        <f t="shared" si="63"/>
        <v>1304</v>
      </c>
      <c r="J655" s="2">
        <v>1905.3440634174185</v>
      </c>
      <c r="K655" s="2">
        <f t="shared" si="64"/>
        <v>-952.67203170870926</v>
      </c>
      <c r="L655" s="2">
        <f t="shared" si="65"/>
        <v>952.67203170870926</v>
      </c>
    </row>
    <row r="656" spans="1:12" x14ac:dyDescent="0.25">
      <c r="A656">
        <v>654</v>
      </c>
      <c r="B656" s="1">
        <v>1306</v>
      </c>
      <c r="C656" s="1">
        <v>1904.0630241670049</v>
      </c>
      <c r="D656">
        <f t="shared" si="61"/>
        <v>-952.03151208350243</v>
      </c>
      <c r="E656">
        <f t="shared" si="62"/>
        <v>952.03151208350243</v>
      </c>
      <c r="F656" s="7">
        <f t="shared" si="66"/>
        <v>2173053.804538751</v>
      </c>
      <c r="G656" s="2">
        <f t="shared" si="63"/>
        <v>1306</v>
      </c>
      <c r="J656" s="2">
        <v>1904.0630241670049</v>
      </c>
      <c r="K656" s="2">
        <f t="shared" si="64"/>
        <v>-952.03151208350243</v>
      </c>
      <c r="L656" s="2">
        <f t="shared" si="65"/>
        <v>952.03151208350243</v>
      </c>
    </row>
    <row r="657" spans="1:12" x14ac:dyDescent="0.25">
      <c r="A657">
        <v>655</v>
      </c>
      <c r="B657" s="1">
        <v>1308</v>
      </c>
      <c r="C657" s="1">
        <v>1902.7727136996684</v>
      </c>
      <c r="D657">
        <f t="shared" si="61"/>
        <v>-951.38635684983421</v>
      </c>
      <c r="E657">
        <f t="shared" si="62"/>
        <v>951.38635684983421</v>
      </c>
      <c r="F657" s="7">
        <f t="shared" si="66"/>
        <v>2176860.6402766178</v>
      </c>
      <c r="G657" s="2">
        <f t="shared" si="63"/>
        <v>1308</v>
      </c>
      <c r="J657" s="2">
        <v>1902.7727136996684</v>
      </c>
      <c r="K657" s="2">
        <f t="shared" si="64"/>
        <v>-951.38635684983421</v>
      </c>
      <c r="L657" s="2">
        <f t="shared" si="65"/>
        <v>951.38635684983421</v>
      </c>
    </row>
    <row r="658" spans="1:12" x14ac:dyDescent="0.25">
      <c r="A658">
        <v>656</v>
      </c>
      <c r="B658" s="1">
        <v>1310</v>
      </c>
      <c r="C658" s="1">
        <v>1901.4731131414928</v>
      </c>
      <c r="D658">
        <f t="shared" si="61"/>
        <v>-950.73655657074642</v>
      </c>
      <c r="E658">
        <f t="shared" si="62"/>
        <v>950.73655657074642</v>
      </c>
      <c r="F658" s="7">
        <f t="shared" si="66"/>
        <v>2180664.8861034592</v>
      </c>
      <c r="G658" s="2">
        <f t="shared" si="63"/>
        <v>1310</v>
      </c>
      <c r="J658" s="2">
        <v>1901.4731131414928</v>
      </c>
      <c r="K658" s="2">
        <f t="shared" si="64"/>
        <v>-950.73655657074642</v>
      </c>
      <c r="L658" s="2">
        <f t="shared" si="65"/>
        <v>950.73655657074642</v>
      </c>
    </row>
    <row r="659" spans="1:12" x14ac:dyDescent="0.25">
      <c r="A659">
        <v>657</v>
      </c>
      <c r="B659" s="1">
        <v>1312</v>
      </c>
      <c r="C659" s="1">
        <v>1900.1642034308509</v>
      </c>
      <c r="D659">
        <f t="shared" si="61"/>
        <v>-950.08210171542544</v>
      </c>
      <c r="E659">
        <f t="shared" si="62"/>
        <v>950.08210171542544</v>
      </c>
      <c r="F659" s="7">
        <f t="shared" si="66"/>
        <v>2184466.5234200316</v>
      </c>
      <c r="G659" s="2">
        <f t="shared" si="63"/>
        <v>1312</v>
      </c>
      <c r="J659" s="2">
        <v>1900.1642034308509</v>
      </c>
      <c r="K659" s="2">
        <f t="shared" si="64"/>
        <v>-950.08210171542544</v>
      </c>
      <c r="L659" s="2">
        <f t="shared" si="65"/>
        <v>950.08210171542544</v>
      </c>
    </row>
    <row r="660" spans="1:12" x14ac:dyDescent="0.25">
      <c r="A660">
        <v>658</v>
      </c>
      <c r="B660" s="1">
        <v>1314</v>
      </c>
      <c r="C660" s="1">
        <v>1898.8459653168291</v>
      </c>
      <c r="D660">
        <f t="shared" si="61"/>
        <v>-949.42298265841453</v>
      </c>
      <c r="E660">
        <f t="shared" si="62"/>
        <v>949.42298265841453</v>
      </c>
      <c r="F660" s="7">
        <f t="shared" si="66"/>
        <v>2188265.5335887792</v>
      </c>
      <c r="G660" s="2">
        <f t="shared" si="63"/>
        <v>1314</v>
      </c>
      <c r="J660" s="2">
        <v>1898.8459653168291</v>
      </c>
      <c r="K660" s="2">
        <f t="shared" si="64"/>
        <v>-949.42298265841453</v>
      </c>
      <c r="L660" s="2">
        <f t="shared" si="65"/>
        <v>949.42298265841453</v>
      </c>
    </row>
    <row r="661" spans="1:12" x14ac:dyDescent="0.25">
      <c r="A661">
        <v>659</v>
      </c>
      <c r="B661" s="1">
        <v>1316</v>
      </c>
      <c r="C661" s="1">
        <v>1897.5183793576282</v>
      </c>
      <c r="D661">
        <f t="shared" si="61"/>
        <v>-948.7591896788141</v>
      </c>
      <c r="E661">
        <f t="shared" si="62"/>
        <v>948.7591896788141</v>
      </c>
      <c r="F661" s="7">
        <f t="shared" si="66"/>
        <v>2192061.8979334538</v>
      </c>
      <c r="G661" s="2">
        <f t="shared" si="63"/>
        <v>1316</v>
      </c>
      <c r="J661" s="2">
        <v>1897.5183793576282</v>
      </c>
      <c r="K661" s="2">
        <f t="shared" si="64"/>
        <v>-948.7591896788141</v>
      </c>
      <c r="L661" s="2">
        <f t="shared" si="65"/>
        <v>948.7591896788141</v>
      </c>
    </row>
    <row r="662" spans="1:12" x14ac:dyDescent="0.25">
      <c r="A662">
        <v>660</v>
      </c>
      <c r="B662" s="1">
        <v>1318</v>
      </c>
      <c r="C662" s="1">
        <v>1896.1814259189441</v>
      </c>
      <c r="D662">
        <f t="shared" si="61"/>
        <v>-948.09071295947206</v>
      </c>
      <c r="E662">
        <f t="shared" si="62"/>
        <v>948.09071295947206</v>
      </c>
      <c r="F662" s="7">
        <f t="shared" si="66"/>
        <v>2195855.5977387303</v>
      </c>
      <c r="G662" s="2">
        <f t="shared" si="63"/>
        <v>1318</v>
      </c>
      <c r="J662" s="2">
        <v>1896.1814259189441</v>
      </c>
      <c r="K662" s="2">
        <f t="shared" si="64"/>
        <v>-948.09071295947206</v>
      </c>
      <c r="L662" s="2">
        <f t="shared" si="65"/>
        <v>948.09071295947206</v>
      </c>
    </row>
    <row r="663" spans="1:12" x14ac:dyDescent="0.25">
      <c r="A663">
        <v>661</v>
      </c>
      <c r="B663" s="1">
        <v>1320</v>
      </c>
      <c r="C663" s="1">
        <v>1894.8350851723219</v>
      </c>
      <c r="D663">
        <f t="shared" si="61"/>
        <v>-947.41754258616095</v>
      </c>
      <c r="E663">
        <f t="shared" si="62"/>
        <v>947.41754258616095</v>
      </c>
      <c r="F663" s="7">
        <f t="shared" si="66"/>
        <v>2199646.6142498218</v>
      </c>
      <c r="G663" s="2">
        <f t="shared" si="63"/>
        <v>1320</v>
      </c>
      <c r="J663" s="2">
        <v>1894.8350851723219</v>
      </c>
      <c r="K663" s="2">
        <f t="shared" si="64"/>
        <v>-947.41754258616095</v>
      </c>
      <c r="L663" s="2">
        <f t="shared" si="65"/>
        <v>947.41754258616095</v>
      </c>
    </row>
    <row r="664" spans="1:12" x14ac:dyDescent="0.25">
      <c r="A664">
        <v>662</v>
      </c>
      <c r="B664" s="1">
        <v>1322</v>
      </c>
      <c r="C664" s="1">
        <v>1893.4793370934894</v>
      </c>
      <c r="D664">
        <f t="shared" si="61"/>
        <v>-946.73966854674472</v>
      </c>
      <c r="E664">
        <f t="shared" si="62"/>
        <v>946.73966854674472</v>
      </c>
      <c r="F664" s="7">
        <f t="shared" si="66"/>
        <v>2203434.9286720874</v>
      </c>
      <c r="G664" s="2">
        <f t="shared" si="63"/>
        <v>1322</v>
      </c>
      <c r="J664" s="2">
        <v>1893.4793370934894</v>
      </c>
      <c r="K664" s="2">
        <f t="shared" si="64"/>
        <v>-946.73966854674472</v>
      </c>
      <c r="L664" s="2">
        <f t="shared" si="65"/>
        <v>946.73966854674472</v>
      </c>
    </row>
    <row r="665" spans="1:12" x14ac:dyDescent="0.25">
      <c r="A665">
        <v>663</v>
      </c>
      <c r="B665" s="1">
        <v>1324</v>
      </c>
      <c r="C665" s="1">
        <v>1892.1141614606663</v>
      </c>
      <c r="D665">
        <f t="shared" si="61"/>
        <v>-946.05708073033315</v>
      </c>
      <c r="E665">
        <f t="shared" si="62"/>
        <v>946.05708073033315</v>
      </c>
      <c r="F665" s="7">
        <f t="shared" si="66"/>
        <v>2207220.5221706415</v>
      </c>
      <c r="G665" s="2">
        <f t="shared" si="63"/>
        <v>1324</v>
      </c>
      <c r="J665" s="2">
        <v>1892.1141614606663</v>
      </c>
      <c r="K665" s="2">
        <f t="shared" si="64"/>
        <v>-946.05708073033315</v>
      </c>
      <c r="L665" s="2">
        <f t="shared" si="65"/>
        <v>946.05708073033315</v>
      </c>
    </row>
    <row r="666" spans="1:12" x14ac:dyDescent="0.25">
      <c r="A666">
        <v>664</v>
      </c>
      <c r="B666" s="1">
        <v>1326</v>
      </c>
      <c r="C666" s="1">
        <v>1890.7395378528477</v>
      </c>
      <c r="D666">
        <f t="shared" si="61"/>
        <v>-945.36976892642383</v>
      </c>
      <c r="E666">
        <f t="shared" si="62"/>
        <v>945.36976892642383</v>
      </c>
      <c r="F666" s="7">
        <f t="shared" si="66"/>
        <v>2211003.3758699549</v>
      </c>
      <c r="G666" s="2">
        <f t="shared" si="63"/>
        <v>1326</v>
      </c>
      <c r="J666" s="2">
        <v>1890.7395378528477</v>
      </c>
      <c r="K666" s="2">
        <f t="shared" si="64"/>
        <v>-945.36976892642383</v>
      </c>
      <c r="L666" s="2">
        <f t="shared" si="65"/>
        <v>945.36976892642383</v>
      </c>
    </row>
    <row r="667" spans="1:12" x14ac:dyDescent="0.25">
      <c r="A667">
        <v>665</v>
      </c>
      <c r="B667" s="1">
        <v>1328</v>
      </c>
      <c r="C667" s="1">
        <v>1889.3554456480654</v>
      </c>
      <c r="D667">
        <f t="shared" si="61"/>
        <v>-944.67772282403268</v>
      </c>
      <c r="E667">
        <f t="shared" si="62"/>
        <v>944.67772282403268</v>
      </c>
      <c r="F667" s="7">
        <f t="shared" si="66"/>
        <v>2214783.4708534558</v>
      </c>
      <c r="G667" s="2">
        <f t="shared" si="63"/>
        <v>1328</v>
      </c>
      <c r="J667" s="2">
        <v>1889.3554456480654</v>
      </c>
      <c r="K667" s="2">
        <f t="shared" si="64"/>
        <v>-944.67772282403268</v>
      </c>
      <c r="L667" s="2">
        <f t="shared" si="65"/>
        <v>944.67772282403268</v>
      </c>
    </row>
    <row r="668" spans="1:12" x14ac:dyDescent="0.25">
      <c r="A668">
        <v>666</v>
      </c>
      <c r="B668" s="1">
        <v>1330</v>
      </c>
      <c r="C668" s="1">
        <v>1887.9618640216227</v>
      </c>
      <c r="D668">
        <f t="shared" si="61"/>
        <v>-943.98093201081133</v>
      </c>
      <c r="E668">
        <f t="shared" si="62"/>
        <v>943.98093201081133</v>
      </c>
      <c r="F668" s="7">
        <f t="shared" si="66"/>
        <v>2218560.7881631255</v>
      </c>
      <c r="G668" s="2">
        <f t="shared" si="63"/>
        <v>1330</v>
      </c>
      <c r="J668" s="2">
        <v>1887.9618640216227</v>
      </c>
      <c r="K668" s="2">
        <f t="shared" si="64"/>
        <v>-943.98093201081133</v>
      </c>
      <c r="L668" s="2">
        <f t="shared" si="65"/>
        <v>943.98093201081133</v>
      </c>
    </row>
    <row r="669" spans="1:12" x14ac:dyDescent="0.25">
      <c r="A669">
        <v>667</v>
      </c>
      <c r="B669" s="1">
        <v>1332</v>
      </c>
      <c r="C669" s="1">
        <v>1886.558771944304</v>
      </c>
      <c r="D669">
        <f t="shared" si="61"/>
        <v>-943.279385972152</v>
      </c>
      <c r="E669">
        <f t="shared" si="62"/>
        <v>943.279385972152</v>
      </c>
      <c r="F669" s="7">
        <f t="shared" si="66"/>
        <v>2222335.3087990913</v>
      </c>
      <c r="G669" s="2">
        <f t="shared" si="63"/>
        <v>1332</v>
      </c>
      <c r="J669" s="2">
        <v>1886.558771944304</v>
      </c>
      <c r="K669" s="2">
        <f t="shared" si="64"/>
        <v>-943.279385972152</v>
      </c>
      <c r="L669" s="2">
        <f t="shared" si="65"/>
        <v>943.279385972152</v>
      </c>
    </row>
    <row r="670" spans="1:12" x14ac:dyDescent="0.25">
      <c r="A670">
        <v>668</v>
      </c>
      <c r="B670" s="1">
        <v>1334</v>
      </c>
      <c r="C670" s="1">
        <v>1885.1461481805595</v>
      </c>
      <c r="D670">
        <f t="shared" si="61"/>
        <v>-942.57307409027976</v>
      </c>
      <c r="E670">
        <f t="shared" si="62"/>
        <v>942.57307409027976</v>
      </c>
      <c r="F670" s="7">
        <f t="shared" si="66"/>
        <v>2226107.013719216</v>
      </c>
      <c r="G670" s="2">
        <f t="shared" si="63"/>
        <v>1334</v>
      </c>
      <c r="J670" s="2">
        <v>1885.1461481805595</v>
      </c>
      <c r="K670" s="2">
        <f t="shared" si="64"/>
        <v>-942.57307409027976</v>
      </c>
      <c r="L670" s="2">
        <f t="shared" si="65"/>
        <v>942.57307409027976</v>
      </c>
    </row>
    <row r="671" spans="1:12" x14ac:dyDescent="0.25">
      <c r="A671">
        <v>669</v>
      </c>
      <c r="B671" s="1">
        <v>1336</v>
      </c>
      <c r="C671" s="1">
        <v>1883.7239712866638</v>
      </c>
      <c r="D671">
        <f t="shared" si="61"/>
        <v>-941.86198564333188</v>
      </c>
      <c r="E671">
        <f t="shared" si="62"/>
        <v>941.86198564333188</v>
      </c>
      <c r="F671" s="7">
        <f t="shared" si="66"/>
        <v>2229875.8838386834</v>
      </c>
      <c r="G671" s="2">
        <f t="shared" si="63"/>
        <v>1336</v>
      </c>
      <c r="J671" s="2">
        <v>1883.7239712866638</v>
      </c>
      <c r="K671" s="2">
        <f t="shared" si="64"/>
        <v>-941.86198564333188</v>
      </c>
      <c r="L671" s="2">
        <f t="shared" si="65"/>
        <v>941.86198564333188</v>
      </c>
    </row>
    <row r="672" spans="1:12" x14ac:dyDescent="0.25">
      <c r="A672">
        <v>670</v>
      </c>
      <c r="B672" s="1">
        <v>1338</v>
      </c>
      <c r="C672" s="1">
        <v>1882.2922196088471</v>
      </c>
      <c r="D672">
        <f t="shared" si="61"/>
        <v>-941.14610980442353</v>
      </c>
      <c r="E672">
        <f t="shared" si="62"/>
        <v>941.14610980442353</v>
      </c>
      <c r="F672" s="7">
        <f t="shared" si="66"/>
        <v>2233641.9000295787</v>
      </c>
      <c r="G672" s="2">
        <f t="shared" si="63"/>
        <v>1338</v>
      </c>
      <c r="J672" s="2">
        <v>1882.2922196088471</v>
      </c>
      <c r="K672" s="2">
        <f t="shared" si="64"/>
        <v>-941.14610980442353</v>
      </c>
      <c r="L672" s="2">
        <f t="shared" si="65"/>
        <v>941.14610980442353</v>
      </c>
    </row>
    <row r="673" spans="1:12" x14ac:dyDescent="0.25">
      <c r="A673">
        <v>671</v>
      </c>
      <c r="B673" s="1">
        <v>1340</v>
      </c>
      <c r="C673" s="1">
        <v>1880.8508712813996</v>
      </c>
      <c r="D673">
        <f t="shared" si="61"/>
        <v>-940.42543564069979</v>
      </c>
      <c r="E673">
        <f t="shared" si="62"/>
        <v>940.42543564069979</v>
      </c>
      <c r="F673" s="7">
        <f t="shared" si="66"/>
        <v>2237405.043120469</v>
      </c>
      <c r="G673" s="2">
        <f t="shared" si="63"/>
        <v>1340</v>
      </c>
      <c r="J673" s="2">
        <v>1880.8508712813996</v>
      </c>
      <c r="K673" s="2">
        <f t="shared" si="64"/>
        <v>-940.42543564069979</v>
      </c>
      <c r="L673" s="2">
        <f t="shared" si="65"/>
        <v>940.42543564069979</v>
      </c>
    </row>
    <row r="674" spans="1:12" x14ac:dyDescent="0.25">
      <c r="A674">
        <v>672</v>
      </c>
      <c r="B674" s="1">
        <v>1342</v>
      </c>
      <c r="C674" s="1">
        <v>1879.3999042247501</v>
      </c>
      <c r="D674">
        <f t="shared" si="61"/>
        <v>-939.69995211237506</v>
      </c>
      <c r="E674">
        <f t="shared" si="62"/>
        <v>939.69995211237506</v>
      </c>
      <c r="F674" s="7">
        <f t="shared" si="66"/>
        <v>2241165.2938959752</v>
      </c>
      <c r="G674" s="2">
        <f t="shared" si="63"/>
        <v>1342</v>
      </c>
      <c r="J674" s="2">
        <v>1879.3999042247501</v>
      </c>
      <c r="K674" s="2">
        <f t="shared" si="64"/>
        <v>-939.69995211237506</v>
      </c>
      <c r="L674" s="2">
        <f t="shared" si="65"/>
        <v>939.69995211237506</v>
      </c>
    </row>
    <row r="675" spans="1:12" x14ac:dyDescent="0.25">
      <c r="A675">
        <v>673</v>
      </c>
      <c r="B675" s="1">
        <v>1344</v>
      </c>
      <c r="C675" s="1">
        <v>1877.9392961435149</v>
      </c>
      <c r="D675">
        <f t="shared" si="61"/>
        <v>-938.96964807175743</v>
      </c>
      <c r="E675">
        <f t="shared" si="62"/>
        <v>938.96964807175743</v>
      </c>
      <c r="F675" s="7">
        <f t="shared" si="66"/>
        <v>2244922.6330963434</v>
      </c>
      <c r="G675" s="2">
        <f t="shared" si="63"/>
        <v>1344</v>
      </c>
      <c r="J675" s="2">
        <v>1877.9392961435149</v>
      </c>
      <c r="K675" s="2">
        <f t="shared" si="64"/>
        <v>-938.96964807175743</v>
      </c>
      <c r="L675" s="2">
        <f t="shared" si="65"/>
        <v>938.96964807175743</v>
      </c>
    </row>
    <row r="676" spans="1:12" x14ac:dyDescent="0.25">
      <c r="A676">
        <v>674</v>
      </c>
      <c r="B676" s="1">
        <v>1346</v>
      </c>
      <c r="C676" s="1">
        <v>1876.469024524519</v>
      </c>
      <c r="D676">
        <f t="shared" si="61"/>
        <v>-938.2345122622595</v>
      </c>
      <c r="E676">
        <f t="shared" si="62"/>
        <v>938.2345122622595</v>
      </c>
      <c r="F676" s="7">
        <f t="shared" si="66"/>
        <v>2248677.0414170115</v>
      </c>
      <c r="G676" s="2">
        <f t="shared" si="63"/>
        <v>1346</v>
      </c>
      <c r="J676" s="2">
        <v>1876.469024524519</v>
      </c>
      <c r="K676" s="2">
        <f t="shared" si="64"/>
        <v>-938.2345122622595</v>
      </c>
      <c r="L676" s="2">
        <f t="shared" si="65"/>
        <v>938.2345122622595</v>
      </c>
    </row>
    <row r="677" spans="1:12" x14ac:dyDescent="0.25">
      <c r="A677">
        <v>675</v>
      </c>
      <c r="B677" s="1">
        <v>1348</v>
      </c>
      <c r="C677" s="1">
        <v>1874.9890666347897</v>
      </c>
      <c r="D677">
        <f t="shared" si="61"/>
        <v>-937.49453331739483</v>
      </c>
      <c r="E677">
        <f t="shared" si="62"/>
        <v>937.49453331739483</v>
      </c>
      <c r="F677" s="7">
        <f t="shared" si="66"/>
        <v>2252428.4995081709</v>
      </c>
      <c r="G677" s="2">
        <f t="shared" si="63"/>
        <v>1348</v>
      </c>
      <c r="J677" s="2">
        <v>1874.9890666347897</v>
      </c>
      <c r="K677" s="2">
        <f t="shared" si="64"/>
        <v>-937.49453331739483</v>
      </c>
      <c r="L677" s="2">
        <f t="shared" si="65"/>
        <v>937.49453331739483</v>
      </c>
    </row>
    <row r="678" spans="1:12" x14ac:dyDescent="0.25">
      <c r="A678">
        <v>676</v>
      </c>
      <c r="B678" s="1">
        <v>1350</v>
      </c>
      <c r="C678" s="1">
        <v>1873.4993995195196</v>
      </c>
      <c r="D678">
        <f t="shared" si="61"/>
        <v>-936.74969975975978</v>
      </c>
      <c r="E678">
        <f t="shared" si="62"/>
        <v>936.74969975975978</v>
      </c>
      <c r="F678" s="7">
        <f t="shared" si="66"/>
        <v>2256176.9879743252</v>
      </c>
      <c r="G678" s="2">
        <f t="shared" si="63"/>
        <v>1350</v>
      </c>
      <c r="J678" s="2">
        <v>1873.4993995195196</v>
      </c>
      <c r="K678" s="2">
        <f t="shared" si="64"/>
        <v>-936.74969975975978</v>
      </c>
      <c r="L678" s="2">
        <f t="shared" si="65"/>
        <v>936.74969975975978</v>
      </c>
    </row>
    <row r="679" spans="1:12" x14ac:dyDescent="0.25">
      <c r="A679">
        <v>677</v>
      </c>
      <c r="B679" s="1">
        <v>1352</v>
      </c>
      <c r="C679" s="1">
        <v>1872</v>
      </c>
      <c r="D679">
        <f t="shared" si="61"/>
        <v>-936</v>
      </c>
      <c r="E679">
        <f t="shared" si="62"/>
        <v>936</v>
      </c>
      <c r="F679" s="7">
        <f t="shared" si="66"/>
        <v>2259922.4873738447</v>
      </c>
      <c r="G679" s="2">
        <f t="shared" si="63"/>
        <v>1352</v>
      </c>
      <c r="J679" s="2">
        <v>1872</v>
      </c>
      <c r="K679" s="2">
        <f t="shared" si="64"/>
        <v>-936</v>
      </c>
      <c r="L679" s="2">
        <f t="shared" si="65"/>
        <v>936</v>
      </c>
    </row>
    <row r="680" spans="1:12" x14ac:dyDescent="0.25">
      <c r="A680">
        <v>678</v>
      </c>
      <c r="B680" s="1">
        <v>1354</v>
      </c>
      <c r="C680" s="1">
        <v>1870.4908446715262</v>
      </c>
      <c r="D680">
        <f t="shared" si="61"/>
        <v>-935.24542233576312</v>
      </c>
      <c r="E680">
        <f t="shared" si="62"/>
        <v>935.24542233576312</v>
      </c>
      <c r="F680" s="7">
        <f t="shared" si="66"/>
        <v>2263664.9782185163</v>
      </c>
      <c r="G680" s="2">
        <f t="shared" si="63"/>
        <v>1354</v>
      </c>
      <c r="J680" s="2">
        <v>1870.4908446715262</v>
      </c>
      <c r="K680" s="2">
        <f t="shared" si="64"/>
        <v>-935.24542233576312</v>
      </c>
      <c r="L680" s="2">
        <f t="shared" si="65"/>
        <v>935.24542233576312</v>
      </c>
    </row>
    <row r="681" spans="1:12" x14ac:dyDescent="0.25">
      <c r="A681">
        <v>679</v>
      </c>
      <c r="B681" s="1">
        <v>1356</v>
      </c>
      <c r="C681" s="1">
        <v>1868.9719099012698</v>
      </c>
      <c r="D681">
        <f t="shared" si="61"/>
        <v>-934.48595495063489</v>
      </c>
      <c r="E681">
        <f t="shared" si="62"/>
        <v>934.48595495063489</v>
      </c>
      <c r="F681" s="7">
        <f t="shared" si="66"/>
        <v>2267404.4409730891</v>
      </c>
      <c r="G681" s="2">
        <f t="shared" si="63"/>
        <v>1356</v>
      </c>
      <c r="J681" s="2">
        <v>1868.9719099012698</v>
      </c>
      <c r="K681" s="2">
        <f t="shared" si="64"/>
        <v>-934.48595495063489</v>
      </c>
      <c r="L681" s="2">
        <f t="shared" si="65"/>
        <v>934.48595495063489</v>
      </c>
    </row>
    <row r="682" spans="1:12" x14ac:dyDescent="0.25">
      <c r="A682">
        <v>680</v>
      </c>
      <c r="B682" s="1">
        <v>1358</v>
      </c>
      <c r="C682" s="1">
        <v>1867.4431718261201</v>
      </c>
      <c r="D682">
        <f t="shared" si="61"/>
        <v>-933.72158591306004</v>
      </c>
      <c r="E682">
        <f t="shared" si="62"/>
        <v>933.72158591306004</v>
      </c>
      <c r="F682" s="7">
        <f t="shared" si="66"/>
        <v>2271140.8560548164</v>
      </c>
      <c r="G682" s="2">
        <f t="shared" si="63"/>
        <v>1358</v>
      </c>
      <c r="J682" s="2">
        <v>1867.4431718261201</v>
      </c>
      <c r="K682" s="2">
        <f t="shared" si="64"/>
        <v>-933.72158591306004</v>
      </c>
      <c r="L682" s="2">
        <f t="shared" si="65"/>
        <v>933.72158591306004</v>
      </c>
    </row>
    <row r="683" spans="1:12" x14ac:dyDescent="0.25">
      <c r="A683">
        <v>681</v>
      </c>
      <c r="B683" s="1">
        <v>1360</v>
      </c>
      <c r="C683" s="1">
        <v>1865.9046063504961</v>
      </c>
      <c r="D683">
        <f t="shared" si="61"/>
        <v>-932.95230317524806</v>
      </c>
      <c r="E683">
        <f t="shared" si="62"/>
        <v>932.95230317524806</v>
      </c>
      <c r="F683" s="7">
        <f t="shared" si="66"/>
        <v>2274874.2038329928</v>
      </c>
      <c r="G683" s="2">
        <f t="shared" si="63"/>
        <v>1360</v>
      </c>
      <c r="J683" s="2">
        <v>1865.9046063504961</v>
      </c>
      <c r="K683" s="2">
        <f t="shared" si="64"/>
        <v>-932.95230317524806</v>
      </c>
      <c r="L683" s="2">
        <f t="shared" si="65"/>
        <v>932.95230317524806</v>
      </c>
    </row>
    <row r="684" spans="1:12" x14ac:dyDescent="0.25">
      <c r="A684">
        <v>682</v>
      </c>
      <c r="B684" s="1">
        <v>1362</v>
      </c>
      <c r="C684" s="1">
        <v>1864.3561891441238</v>
      </c>
      <c r="D684">
        <f t="shared" si="61"/>
        <v>-932.17809457206192</v>
      </c>
      <c r="E684">
        <f t="shared" si="62"/>
        <v>932.17809457206192</v>
      </c>
      <c r="F684" s="7">
        <f t="shared" si="66"/>
        <v>2278604.4646284874</v>
      </c>
      <c r="G684" s="2">
        <f t="shared" si="63"/>
        <v>1362</v>
      </c>
      <c r="J684" s="2">
        <v>1864.3561891441238</v>
      </c>
      <c r="K684" s="2">
        <f t="shared" si="64"/>
        <v>-932.17809457206192</v>
      </c>
      <c r="L684" s="2">
        <f t="shared" si="65"/>
        <v>932.17809457206192</v>
      </c>
    </row>
    <row r="685" spans="1:12" x14ac:dyDescent="0.25">
      <c r="A685">
        <v>683</v>
      </c>
      <c r="B685" s="1">
        <v>1364</v>
      </c>
      <c r="C685" s="1">
        <v>1862.7978956397819</v>
      </c>
      <c r="D685">
        <f t="shared" si="61"/>
        <v>-931.39894781989096</v>
      </c>
      <c r="E685">
        <f t="shared" si="62"/>
        <v>931.39894781989096</v>
      </c>
      <c r="F685" s="7">
        <f t="shared" si="66"/>
        <v>2282331.6187132713</v>
      </c>
      <c r="G685" s="2">
        <f t="shared" si="63"/>
        <v>1364</v>
      </c>
      <c r="J685" s="2">
        <v>1862.7978956397819</v>
      </c>
      <c r="K685" s="2">
        <f t="shared" si="64"/>
        <v>-931.39894781989096</v>
      </c>
      <c r="L685" s="2">
        <f t="shared" si="65"/>
        <v>931.39894781989096</v>
      </c>
    </row>
    <row r="686" spans="1:12" x14ac:dyDescent="0.25">
      <c r="A686">
        <v>684</v>
      </c>
      <c r="B686" s="1">
        <v>1366</v>
      </c>
      <c r="C686" s="1">
        <v>1861.2297010310147</v>
      </c>
      <c r="D686">
        <f t="shared" si="61"/>
        <v>-930.61485051550733</v>
      </c>
      <c r="E686">
        <f t="shared" si="62"/>
        <v>930.61485051550733</v>
      </c>
      <c r="F686" s="7">
        <f t="shared" si="66"/>
        <v>2286055.646309942</v>
      </c>
      <c r="G686" s="2">
        <f t="shared" si="63"/>
        <v>1366</v>
      </c>
      <c r="J686" s="2">
        <v>1861.2297010310147</v>
      </c>
      <c r="K686" s="2">
        <f t="shared" si="64"/>
        <v>-930.61485051550733</v>
      </c>
      <c r="L686" s="2">
        <f t="shared" si="65"/>
        <v>930.61485051550733</v>
      </c>
    </row>
    <row r="687" spans="1:12" x14ac:dyDescent="0.25">
      <c r="A687">
        <v>685</v>
      </c>
      <c r="B687" s="1">
        <v>1368</v>
      </c>
      <c r="C687" s="1">
        <v>1859.6515802698095</v>
      </c>
      <c r="D687">
        <f t="shared" si="61"/>
        <v>-929.82579013490476</v>
      </c>
      <c r="E687">
        <f t="shared" si="62"/>
        <v>929.82579013490476</v>
      </c>
      <c r="F687" s="7">
        <f t="shared" si="66"/>
        <v>2289776.5275912429</v>
      </c>
      <c r="G687" s="2">
        <f t="shared" si="63"/>
        <v>1368</v>
      </c>
      <c r="J687" s="2">
        <v>1859.6515802698095</v>
      </c>
      <c r="K687" s="2">
        <f t="shared" si="64"/>
        <v>-929.82579013490476</v>
      </c>
      <c r="L687" s="2">
        <f t="shared" si="65"/>
        <v>929.82579013490476</v>
      </c>
    </row>
    <row r="688" spans="1:12" x14ac:dyDescent="0.25">
      <c r="A688">
        <v>686</v>
      </c>
      <c r="B688" s="1">
        <v>1370</v>
      </c>
      <c r="C688" s="1">
        <v>1858.0635080642426</v>
      </c>
      <c r="D688">
        <f t="shared" si="61"/>
        <v>-929.03175403212128</v>
      </c>
      <c r="E688">
        <f t="shared" si="62"/>
        <v>929.03175403212128</v>
      </c>
      <c r="F688" s="7">
        <f t="shared" si="66"/>
        <v>2293494.2426795769</v>
      </c>
      <c r="G688" s="2">
        <f t="shared" si="63"/>
        <v>1370</v>
      </c>
      <c r="J688" s="2">
        <v>1858.0635080642426</v>
      </c>
      <c r="K688" s="2">
        <f t="shared" si="64"/>
        <v>-929.03175403212128</v>
      </c>
      <c r="L688" s="2">
        <f t="shared" si="65"/>
        <v>929.03175403212128</v>
      </c>
    </row>
    <row r="689" spans="1:12" x14ac:dyDescent="0.25">
      <c r="A689">
        <v>687</v>
      </c>
      <c r="B689" s="1">
        <v>1372</v>
      </c>
      <c r="C689" s="1">
        <v>1856.4654588760868</v>
      </c>
      <c r="D689">
        <f t="shared" si="61"/>
        <v>-928.23272943804341</v>
      </c>
      <c r="E689">
        <f t="shared" si="62"/>
        <v>928.23272943804341</v>
      </c>
      <c r="F689" s="7">
        <f t="shared" si="66"/>
        <v>2297208.7716465173</v>
      </c>
      <c r="G689" s="2">
        <f t="shared" si="63"/>
        <v>1372</v>
      </c>
      <c r="J689" s="2">
        <v>1856.4654588760868</v>
      </c>
      <c r="K689" s="2">
        <f t="shared" si="64"/>
        <v>-928.23272943804341</v>
      </c>
      <c r="L689" s="2">
        <f t="shared" si="65"/>
        <v>928.23272943804341</v>
      </c>
    </row>
    <row r="690" spans="1:12" x14ac:dyDescent="0.25">
      <c r="A690">
        <v>688</v>
      </c>
      <c r="B690" s="1">
        <v>1374</v>
      </c>
      <c r="C690" s="1">
        <v>1854.8574069183862</v>
      </c>
      <c r="D690">
        <f t="shared" si="61"/>
        <v>-927.42870345919312</v>
      </c>
      <c r="E690">
        <f t="shared" si="62"/>
        <v>927.42870345919312</v>
      </c>
      <c r="F690" s="7">
        <f t="shared" si="66"/>
        <v>2300920.0945123117</v>
      </c>
      <c r="G690" s="2">
        <f t="shared" si="63"/>
        <v>1374</v>
      </c>
      <c r="J690" s="2">
        <v>1854.8574069183862</v>
      </c>
      <c r="K690" s="2">
        <f t="shared" si="64"/>
        <v>-927.42870345919312</v>
      </c>
      <c r="L690" s="2">
        <f t="shared" si="65"/>
        <v>927.42870345919312</v>
      </c>
    </row>
    <row r="691" spans="1:12" x14ac:dyDescent="0.25">
      <c r="A691">
        <v>689</v>
      </c>
      <c r="B691" s="1">
        <v>1376</v>
      </c>
      <c r="C691" s="1">
        <v>1853.239326152993</v>
      </c>
      <c r="D691">
        <f t="shared" si="61"/>
        <v>-926.61966307649652</v>
      </c>
      <c r="E691">
        <f t="shared" si="62"/>
        <v>926.61966307649652</v>
      </c>
      <c r="F691" s="7">
        <f t="shared" si="66"/>
        <v>2304628.1912453831</v>
      </c>
      <c r="G691" s="2">
        <f t="shared" si="63"/>
        <v>1376</v>
      </c>
      <c r="J691" s="2">
        <v>1853.239326152993</v>
      </c>
      <c r="K691" s="2">
        <f t="shared" si="64"/>
        <v>-926.61966307649652</v>
      </c>
      <c r="L691" s="2">
        <f t="shared" si="65"/>
        <v>926.61966307649652</v>
      </c>
    </row>
    <row r="692" spans="1:12" x14ac:dyDescent="0.25">
      <c r="A692">
        <v>690</v>
      </c>
      <c r="B692" s="1">
        <v>1378</v>
      </c>
      <c r="C692" s="1">
        <v>1851.6111902880691</v>
      </c>
      <c r="D692">
        <f t="shared" si="61"/>
        <v>-925.80559514403456</v>
      </c>
      <c r="E692">
        <f t="shared" si="62"/>
        <v>925.80559514403456</v>
      </c>
      <c r="F692" s="7">
        <f t="shared" si="66"/>
        <v>2308333.0417618244</v>
      </c>
      <c r="G692" s="2">
        <f t="shared" si="63"/>
        <v>1378</v>
      </c>
      <c r="J692" s="2">
        <v>1851.6111902880691</v>
      </c>
      <c r="K692" s="2">
        <f t="shared" si="64"/>
        <v>-925.80559514403456</v>
      </c>
      <c r="L692" s="2">
        <f t="shared" si="65"/>
        <v>925.80559514403456</v>
      </c>
    </row>
    <row r="693" spans="1:12" x14ac:dyDescent="0.25">
      <c r="A693">
        <v>691</v>
      </c>
      <c r="B693" s="1">
        <v>1380</v>
      </c>
      <c r="C693" s="1">
        <v>1849.9729727755484</v>
      </c>
      <c r="D693">
        <f t="shared" si="61"/>
        <v>-924.98648638777422</v>
      </c>
      <c r="E693">
        <f t="shared" si="62"/>
        <v>924.98648638777422</v>
      </c>
      <c r="F693" s="7">
        <f t="shared" si="66"/>
        <v>2312034.6259248881</v>
      </c>
      <c r="G693" s="2">
        <f t="shared" si="63"/>
        <v>1380</v>
      </c>
      <c r="J693" s="2">
        <v>1849.9729727755484</v>
      </c>
      <c r="K693" s="2">
        <f t="shared" si="64"/>
        <v>-924.98648638777422</v>
      </c>
      <c r="L693" s="2">
        <f t="shared" si="65"/>
        <v>924.98648638777422</v>
      </c>
    </row>
    <row r="694" spans="1:12" x14ac:dyDescent="0.25">
      <c r="A694">
        <v>692</v>
      </c>
      <c r="B694" s="1">
        <v>1382</v>
      </c>
      <c r="C694" s="1">
        <v>1848.3246468085633</v>
      </c>
      <c r="D694">
        <f t="shared" si="61"/>
        <v>-924.16232340428166</v>
      </c>
      <c r="E694">
        <f t="shared" si="62"/>
        <v>924.16232340428166</v>
      </c>
      <c r="F694" s="7">
        <f t="shared" si="66"/>
        <v>2315732.9235444721</v>
      </c>
      <c r="G694" s="2">
        <f t="shared" si="63"/>
        <v>1382</v>
      </c>
      <c r="J694" s="2">
        <v>1848.3246468085633</v>
      </c>
      <c r="K694" s="2">
        <f t="shared" si="64"/>
        <v>-924.16232340428166</v>
      </c>
      <c r="L694" s="2">
        <f t="shared" si="65"/>
        <v>924.16232340428166</v>
      </c>
    </row>
    <row r="695" spans="1:12" x14ac:dyDescent="0.25">
      <c r="A695">
        <v>693</v>
      </c>
      <c r="B695" s="1">
        <v>1384</v>
      </c>
      <c r="C695" s="1">
        <v>1846.6661853188302</v>
      </c>
      <c r="D695">
        <f t="shared" si="61"/>
        <v>-923.33309265941512</v>
      </c>
      <c r="E695">
        <f t="shared" si="62"/>
        <v>923.33309265941512</v>
      </c>
      <c r="F695" s="7">
        <f t="shared" si="66"/>
        <v>2319427.9143765992</v>
      </c>
      <c r="G695" s="2">
        <f t="shared" si="63"/>
        <v>1384</v>
      </c>
      <c r="J695" s="2">
        <v>1846.6661853188302</v>
      </c>
      <c r="K695" s="2">
        <f t="shared" si="64"/>
        <v>-923.33309265941512</v>
      </c>
      <c r="L695" s="2">
        <f t="shared" si="65"/>
        <v>923.33309265941512</v>
      </c>
    </row>
    <row r="696" spans="1:12" x14ac:dyDescent="0.25">
      <c r="A696">
        <v>694</v>
      </c>
      <c r="B696" s="1">
        <v>1386</v>
      </c>
      <c r="C696" s="1">
        <v>1844.9975609739977</v>
      </c>
      <c r="D696">
        <f t="shared" si="61"/>
        <v>-922.49878048699884</v>
      </c>
      <c r="E696">
        <f t="shared" si="62"/>
        <v>922.49878048699884</v>
      </c>
      <c r="F696" s="7">
        <f t="shared" si="66"/>
        <v>2323119.578122892</v>
      </c>
      <c r="G696" s="2">
        <f t="shared" si="63"/>
        <v>1386</v>
      </c>
      <c r="J696" s="2">
        <v>1844.9975609739977</v>
      </c>
      <c r="K696" s="2">
        <f t="shared" si="64"/>
        <v>-922.49878048699884</v>
      </c>
      <c r="L696" s="2">
        <f t="shared" si="65"/>
        <v>922.49878048699884</v>
      </c>
    </row>
    <row r="697" spans="1:12" x14ac:dyDescent="0.25">
      <c r="A697">
        <v>695</v>
      </c>
      <c r="B697" s="1">
        <v>1388</v>
      </c>
      <c r="C697" s="1">
        <v>1843.3187461749528</v>
      </c>
      <c r="D697">
        <f t="shared" si="61"/>
        <v>-921.65937308747641</v>
      </c>
      <c r="E697">
        <f t="shared" si="62"/>
        <v>921.65937308747641</v>
      </c>
      <c r="F697" s="7">
        <f t="shared" si="66"/>
        <v>2326807.8944300408</v>
      </c>
      <c r="G697" s="2">
        <f t="shared" si="63"/>
        <v>1388</v>
      </c>
      <c r="J697" s="2">
        <v>1843.3187461749528</v>
      </c>
      <c r="K697" s="2">
        <f t="shared" si="64"/>
        <v>-921.65937308747641</v>
      </c>
      <c r="L697" s="2">
        <f t="shared" si="65"/>
        <v>921.65937308747641</v>
      </c>
    </row>
    <row r="698" spans="1:12" x14ac:dyDescent="0.25">
      <c r="A698">
        <v>696</v>
      </c>
      <c r="B698" s="1">
        <v>1390</v>
      </c>
      <c r="C698" s="1">
        <v>1841.6297130530882</v>
      </c>
      <c r="D698">
        <f t="shared" si="61"/>
        <v>-920.81485652654408</v>
      </c>
      <c r="E698">
        <f t="shared" si="62"/>
        <v>920.81485652654408</v>
      </c>
      <c r="F698" s="7">
        <f t="shared" si="66"/>
        <v>2330492.8428892689</v>
      </c>
      <c r="G698" s="2">
        <f t="shared" si="63"/>
        <v>1390</v>
      </c>
      <c r="J698" s="2">
        <v>1841.6297130530882</v>
      </c>
      <c r="K698" s="2">
        <f t="shared" si="64"/>
        <v>-920.81485652654408</v>
      </c>
      <c r="L698" s="2">
        <f t="shared" si="65"/>
        <v>920.81485652654408</v>
      </c>
    </row>
    <row r="699" spans="1:12" x14ac:dyDescent="0.25">
      <c r="A699">
        <v>697</v>
      </c>
      <c r="B699" s="1">
        <v>1392</v>
      </c>
      <c r="C699" s="1">
        <v>1839.9304334675264</v>
      </c>
      <c r="D699">
        <f t="shared" si="61"/>
        <v>-919.96521673376321</v>
      </c>
      <c r="E699">
        <f t="shared" si="62"/>
        <v>919.96521673376321</v>
      </c>
      <c r="F699" s="7">
        <f t="shared" si="66"/>
        <v>2334174.4030357897</v>
      </c>
      <c r="G699" s="2">
        <f t="shared" si="63"/>
        <v>1392</v>
      </c>
      <c r="J699" s="2">
        <v>1839.9304334675264</v>
      </c>
      <c r="K699" s="2">
        <f t="shared" si="64"/>
        <v>-919.96521673376321</v>
      </c>
      <c r="L699" s="2">
        <f t="shared" si="65"/>
        <v>919.96521673376321</v>
      </c>
    </row>
    <row r="700" spans="1:12" x14ac:dyDescent="0.25">
      <c r="A700">
        <v>698</v>
      </c>
      <c r="B700" s="1">
        <v>1394</v>
      </c>
      <c r="C700" s="1">
        <v>1838.220879002303</v>
      </c>
      <c r="D700">
        <f t="shared" si="61"/>
        <v>-919.11043950115152</v>
      </c>
      <c r="E700">
        <f t="shared" si="62"/>
        <v>919.11043950115152</v>
      </c>
      <c r="F700" s="7">
        <f t="shared" si="66"/>
        <v>2337852.5543482597</v>
      </c>
      <c r="G700" s="2">
        <f t="shared" si="63"/>
        <v>1394</v>
      </c>
      <c r="J700" s="2">
        <v>1838.220879002303</v>
      </c>
      <c r="K700" s="2">
        <f t="shared" si="64"/>
        <v>-919.11043950115152</v>
      </c>
      <c r="L700" s="2">
        <f t="shared" si="65"/>
        <v>919.11043950115152</v>
      </c>
    </row>
    <row r="701" spans="1:12" x14ac:dyDescent="0.25">
      <c r="A701">
        <v>699</v>
      </c>
      <c r="B701" s="1">
        <v>1396</v>
      </c>
      <c r="C701" s="1">
        <v>1836.5010209635061</v>
      </c>
      <c r="D701">
        <f t="shared" si="61"/>
        <v>-918.25051048175305</v>
      </c>
      <c r="E701">
        <f t="shared" si="62"/>
        <v>918.25051048175305</v>
      </c>
      <c r="F701" s="7">
        <f t="shared" si="66"/>
        <v>2341527.2762482255</v>
      </c>
      <c r="G701" s="2">
        <f t="shared" si="63"/>
        <v>1396</v>
      </c>
      <c r="J701" s="2">
        <v>1836.5010209635061</v>
      </c>
      <c r="K701" s="2">
        <f t="shared" si="64"/>
        <v>-918.25051048175305</v>
      </c>
      <c r="L701" s="2">
        <f t="shared" si="65"/>
        <v>918.25051048175305</v>
      </c>
    </row>
    <row r="702" spans="1:12" x14ac:dyDescent="0.25">
      <c r="A702">
        <v>700</v>
      </c>
      <c r="B702" s="1">
        <v>1398</v>
      </c>
      <c r="C702" s="1">
        <v>1834.7708303763716</v>
      </c>
      <c r="D702">
        <f t="shared" si="61"/>
        <v>-917.38541518818579</v>
      </c>
      <c r="E702">
        <f t="shared" si="62"/>
        <v>917.38541518818579</v>
      </c>
      <c r="F702" s="7">
        <f t="shared" si="66"/>
        <v>2345198.5480995653</v>
      </c>
      <c r="G702" s="2">
        <f t="shared" si="63"/>
        <v>1398</v>
      </c>
      <c r="J702" s="2">
        <v>1834.7708303763716</v>
      </c>
      <c r="K702" s="2">
        <f t="shared" si="64"/>
        <v>-917.38541518818579</v>
      </c>
      <c r="L702" s="2">
        <f t="shared" si="65"/>
        <v>917.38541518818579</v>
      </c>
    </row>
    <row r="703" spans="1:12" x14ac:dyDescent="0.25">
      <c r="A703">
        <v>701</v>
      </c>
      <c r="B703" s="1">
        <v>1400</v>
      </c>
      <c r="C703" s="1">
        <v>1833.030277982336</v>
      </c>
      <c r="D703">
        <f t="shared" si="61"/>
        <v>-916.51513899116799</v>
      </c>
      <c r="E703">
        <f t="shared" si="62"/>
        <v>916.51513899116799</v>
      </c>
      <c r="F703" s="7">
        <f t="shared" si="66"/>
        <v>2348866.3492079242</v>
      </c>
      <c r="G703" s="2">
        <f t="shared" si="63"/>
        <v>1400</v>
      </c>
      <c r="J703" s="2">
        <v>1833.030277982336</v>
      </c>
      <c r="K703" s="2">
        <f t="shared" si="64"/>
        <v>-916.51513899116799</v>
      </c>
      <c r="L703" s="2">
        <f t="shared" si="65"/>
        <v>916.51513899116799</v>
      </c>
    </row>
    <row r="704" spans="1:12" x14ac:dyDescent="0.25">
      <c r="A704">
        <v>702</v>
      </c>
      <c r="B704" s="1">
        <v>1402</v>
      </c>
      <c r="C704" s="1">
        <v>1831.2793342360417</v>
      </c>
      <c r="D704">
        <f t="shared" si="61"/>
        <v>-915.63966711802084</v>
      </c>
      <c r="E704">
        <f t="shared" si="62"/>
        <v>915.63966711802084</v>
      </c>
      <c r="F704" s="7">
        <f t="shared" si="66"/>
        <v>2352530.6588201425</v>
      </c>
      <c r="G704" s="2">
        <f t="shared" si="63"/>
        <v>1402</v>
      </c>
      <c r="J704" s="2">
        <v>1831.2793342360417</v>
      </c>
      <c r="K704" s="2">
        <f t="shared" si="64"/>
        <v>-915.63966711802084</v>
      </c>
      <c r="L704" s="2">
        <f t="shared" si="65"/>
        <v>915.63966711802084</v>
      </c>
    </row>
    <row r="705" spans="1:12" x14ac:dyDescent="0.25">
      <c r="A705">
        <v>703</v>
      </c>
      <c r="B705" s="1">
        <v>1404</v>
      </c>
      <c r="C705" s="1">
        <v>1829.5179693022969</v>
      </c>
      <c r="D705">
        <f t="shared" si="61"/>
        <v>-914.75898465114847</v>
      </c>
      <c r="E705">
        <f t="shared" si="62"/>
        <v>914.75898465114847</v>
      </c>
      <c r="F705" s="7">
        <f t="shared" si="66"/>
        <v>2356191.4561236808</v>
      </c>
      <c r="G705" s="2">
        <f t="shared" si="63"/>
        <v>1404</v>
      </c>
      <c r="J705" s="2">
        <v>1829.5179693022969</v>
      </c>
      <c r="K705" s="2">
        <f t="shared" si="64"/>
        <v>-914.75898465114847</v>
      </c>
      <c r="L705" s="2">
        <f t="shared" si="65"/>
        <v>914.75898465114847</v>
      </c>
    </row>
    <row r="706" spans="1:12" x14ac:dyDescent="0.25">
      <c r="A706">
        <v>704</v>
      </c>
      <c r="B706" s="1">
        <v>1406</v>
      </c>
      <c r="C706" s="1">
        <v>1827.746153052989</v>
      </c>
      <c r="D706">
        <f t="shared" si="61"/>
        <v>-913.87307652649451</v>
      </c>
      <c r="E706">
        <f t="shared" si="62"/>
        <v>913.87307652649451</v>
      </c>
      <c r="F706" s="7">
        <f t="shared" si="66"/>
        <v>2359848.7202460361</v>
      </c>
      <c r="G706" s="2">
        <f t="shared" si="63"/>
        <v>1406</v>
      </c>
      <c r="J706" s="2">
        <v>1827.746153052989</v>
      </c>
      <c r="K706" s="2">
        <f t="shared" si="64"/>
        <v>-913.87307652649451</v>
      </c>
      <c r="L706" s="2">
        <f t="shared" si="65"/>
        <v>913.87307652649451</v>
      </c>
    </row>
    <row r="707" spans="1:12" x14ac:dyDescent="0.25">
      <c r="A707">
        <v>705</v>
      </c>
      <c r="B707" s="1">
        <v>1408</v>
      </c>
      <c r="C707" s="1">
        <v>1825.9638550639495</v>
      </c>
      <c r="D707">
        <f t="shared" si="61"/>
        <v>-912.98192753197475</v>
      </c>
      <c r="E707">
        <f t="shared" si="62"/>
        <v>912.98192753197475</v>
      </c>
      <c r="F707" s="7">
        <f t="shared" si="66"/>
        <v>2363502.430254153</v>
      </c>
      <c r="G707" s="2">
        <f t="shared" si="63"/>
        <v>1408</v>
      </c>
      <c r="J707" s="2">
        <v>1825.9638550639495</v>
      </c>
      <c r="K707" s="2">
        <f t="shared" si="64"/>
        <v>-912.98192753197475</v>
      </c>
      <c r="L707" s="2">
        <f t="shared" si="65"/>
        <v>912.98192753197475</v>
      </c>
    </row>
    <row r="708" spans="1:12" x14ac:dyDescent="0.25">
      <c r="A708">
        <v>706</v>
      </c>
      <c r="B708" s="1">
        <v>1410</v>
      </c>
      <c r="C708" s="1">
        <v>1824.1710446117711</v>
      </c>
      <c r="D708">
        <f t="shared" ref="D708:D771" si="67">IF(A708&lt;=COUNT(B:B),-1*C708/2,NA())</f>
        <v>-912.08552230588555</v>
      </c>
      <c r="E708">
        <f t="shared" ref="E708:E771" si="68">IF(A708&lt;=COUNT(B:B),C708/2,NA())</f>
        <v>912.08552230588555</v>
      </c>
      <c r="F708" s="7">
        <f t="shared" si="66"/>
        <v>2367152.5651538288</v>
      </c>
      <c r="G708" s="2">
        <f t="shared" ref="G708:G771" si="69">B708-$B$3</f>
        <v>1410</v>
      </c>
      <c r="J708" s="2">
        <v>1824.1710446117711</v>
      </c>
      <c r="K708" s="2">
        <f t="shared" ref="K708:K771" si="70">IF(A708&lt;=COUNT(B:B),$J708/2*-1,NA())</f>
        <v>-912.08552230588555</v>
      </c>
      <c r="L708" s="2">
        <f t="shared" ref="L708:L771" si="71">IF(A708&lt;=COUNT(B:B),$J708/2,NA())</f>
        <v>912.08552230588555</v>
      </c>
    </row>
    <row r="709" spans="1:12" x14ac:dyDescent="0.25">
      <c r="A709">
        <v>707</v>
      </c>
      <c r="B709" s="1">
        <v>1412</v>
      </c>
      <c r="C709" s="1">
        <v>1822.3676906705737</v>
      </c>
      <c r="D709">
        <f t="shared" si="67"/>
        <v>-911.18384533528683</v>
      </c>
      <c r="E709">
        <f t="shared" si="68"/>
        <v>911.18384533528683</v>
      </c>
      <c r="F709" s="7">
        <f t="shared" ref="F709:F772" si="72">IF(A708&lt;COUNT(B:B),(($C709+$C708)*(B709-B708)/2)+F708,"")</f>
        <v>2370799.103889111</v>
      </c>
      <c r="G709" s="2">
        <f t="shared" si="69"/>
        <v>1412</v>
      </c>
      <c r="J709" s="2">
        <v>1822.3676906705737</v>
      </c>
      <c r="K709" s="2">
        <f t="shared" si="70"/>
        <v>-911.18384533528683</v>
      </c>
      <c r="L709" s="2">
        <f t="shared" si="71"/>
        <v>911.18384533528683</v>
      </c>
    </row>
    <row r="710" spans="1:12" x14ac:dyDescent="0.25">
      <c r="A710">
        <v>708</v>
      </c>
      <c r="B710" s="1">
        <v>1414</v>
      </c>
      <c r="C710" s="1">
        <v>1820.5537619087222</v>
      </c>
      <c r="D710">
        <f t="shared" si="67"/>
        <v>-910.2768809543611</v>
      </c>
      <c r="E710">
        <f t="shared" si="68"/>
        <v>910.2768809543611</v>
      </c>
      <c r="F710" s="7">
        <f t="shared" si="72"/>
        <v>2374442.0253416901</v>
      </c>
      <c r="G710" s="2">
        <f t="shared" si="69"/>
        <v>1414</v>
      </c>
      <c r="J710" s="2">
        <v>1820.5537619087222</v>
      </c>
      <c r="K710" s="2">
        <f t="shared" si="70"/>
        <v>-910.2768809543611</v>
      </c>
      <c r="L710" s="2">
        <f t="shared" si="71"/>
        <v>910.2768809543611</v>
      </c>
    </row>
    <row r="711" spans="1:12" x14ac:dyDescent="0.25">
      <c r="A711">
        <v>709</v>
      </c>
      <c r="B711" s="1">
        <v>1416</v>
      </c>
      <c r="C711" s="1">
        <v>1818.7292266854899</v>
      </c>
      <c r="D711">
        <f t="shared" si="67"/>
        <v>-909.36461334274497</v>
      </c>
      <c r="E711">
        <f t="shared" si="68"/>
        <v>909.36461334274497</v>
      </c>
      <c r="F711" s="7">
        <f t="shared" si="72"/>
        <v>2378081.3083302844</v>
      </c>
      <c r="G711" s="2">
        <f t="shared" si="69"/>
        <v>1416</v>
      </c>
      <c r="J711" s="2">
        <v>1818.7292266854899</v>
      </c>
      <c r="K711" s="2">
        <f t="shared" si="70"/>
        <v>-909.36461334274497</v>
      </c>
      <c r="L711" s="2">
        <f t="shared" si="71"/>
        <v>909.36461334274497</v>
      </c>
    </row>
    <row r="712" spans="1:12" x14ac:dyDescent="0.25">
      <c r="A712">
        <v>710</v>
      </c>
      <c r="B712" s="1">
        <v>1418</v>
      </c>
      <c r="C712" s="1">
        <v>1816.894053047673</v>
      </c>
      <c r="D712">
        <f t="shared" si="67"/>
        <v>-908.44702652383648</v>
      </c>
      <c r="E712">
        <f t="shared" si="68"/>
        <v>908.44702652383648</v>
      </c>
      <c r="F712" s="7">
        <f t="shared" si="72"/>
        <v>2381716.9316100175</v>
      </c>
      <c r="G712" s="2">
        <f t="shared" si="69"/>
        <v>1418</v>
      </c>
      <c r="J712" s="2">
        <v>1816.894053047673</v>
      </c>
      <c r="K712" s="2">
        <f t="shared" si="70"/>
        <v>-908.44702652383648</v>
      </c>
      <c r="L712" s="2">
        <f t="shared" si="71"/>
        <v>908.44702652383648</v>
      </c>
    </row>
    <row r="713" spans="1:12" x14ac:dyDescent="0.25">
      <c r="A713">
        <v>711</v>
      </c>
      <c r="B713" s="1">
        <v>1420</v>
      </c>
      <c r="C713" s="1">
        <v>1815.0482087261485</v>
      </c>
      <c r="D713">
        <f t="shared" si="67"/>
        <v>-907.52410436307423</v>
      </c>
      <c r="E713">
        <f t="shared" si="68"/>
        <v>907.52410436307423</v>
      </c>
      <c r="F713" s="7">
        <f t="shared" si="72"/>
        <v>2385348.8738717912</v>
      </c>
      <c r="G713" s="2">
        <f t="shared" si="69"/>
        <v>1420</v>
      </c>
      <c r="J713" s="2">
        <v>1815.0482087261485</v>
      </c>
      <c r="K713" s="2">
        <f t="shared" si="70"/>
        <v>-907.52410436307423</v>
      </c>
      <c r="L713" s="2">
        <f t="shared" si="71"/>
        <v>907.52410436307423</v>
      </c>
    </row>
    <row r="714" spans="1:12" x14ac:dyDescent="0.25">
      <c r="A714">
        <v>712</v>
      </c>
      <c r="B714" s="1">
        <v>1422</v>
      </c>
      <c r="C714" s="1">
        <v>1813.1916611323802</v>
      </c>
      <c r="D714">
        <f t="shared" si="67"/>
        <v>-906.5958305661901</v>
      </c>
      <c r="E714">
        <f t="shared" si="68"/>
        <v>906.5958305661901</v>
      </c>
      <c r="F714" s="7">
        <f t="shared" si="72"/>
        <v>2388977.1137416498</v>
      </c>
      <c r="G714" s="2">
        <f t="shared" si="69"/>
        <v>1422</v>
      </c>
      <c r="J714" s="2">
        <v>1813.1916611323802</v>
      </c>
      <c r="K714" s="2">
        <f t="shared" si="70"/>
        <v>-906.5958305661901</v>
      </c>
      <c r="L714" s="2">
        <f t="shared" si="71"/>
        <v>906.5958305661901</v>
      </c>
    </row>
    <row r="715" spans="1:12" x14ac:dyDescent="0.25">
      <c r="A715">
        <v>713</v>
      </c>
      <c r="B715" s="1">
        <v>1424</v>
      </c>
      <c r="C715" s="1">
        <v>1811.3243773548679</v>
      </c>
      <c r="D715">
        <f t="shared" si="67"/>
        <v>-905.66218867743396</v>
      </c>
      <c r="E715">
        <f t="shared" si="68"/>
        <v>905.66218867743396</v>
      </c>
      <c r="F715" s="7">
        <f t="shared" si="72"/>
        <v>2392601.629780137</v>
      </c>
      <c r="G715" s="2">
        <f t="shared" si="69"/>
        <v>1424</v>
      </c>
      <c r="J715" s="2">
        <v>1811.3243773548679</v>
      </c>
      <c r="K715" s="2">
        <f t="shared" si="70"/>
        <v>-905.66218867743396</v>
      </c>
      <c r="L715" s="2">
        <f t="shared" si="71"/>
        <v>905.66218867743396</v>
      </c>
    </row>
    <row r="716" spans="1:12" x14ac:dyDescent="0.25">
      <c r="A716">
        <v>714</v>
      </c>
      <c r="B716" s="1">
        <v>1426</v>
      </c>
      <c r="C716" s="1">
        <v>1809.4463241555413</v>
      </c>
      <c r="D716">
        <f t="shared" si="67"/>
        <v>-904.72316207777067</v>
      </c>
      <c r="E716">
        <f t="shared" si="68"/>
        <v>904.72316207777067</v>
      </c>
      <c r="F716" s="7">
        <f t="shared" si="72"/>
        <v>2396222.4004816473</v>
      </c>
      <c r="G716" s="2">
        <f t="shared" si="69"/>
        <v>1426</v>
      </c>
      <c r="J716" s="2">
        <v>1809.4463241555413</v>
      </c>
      <c r="K716" s="2">
        <f t="shared" si="70"/>
        <v>-904.72316207777067</v>
      </c>
      <c r="L716" s="2">
        <f t="shared" si="71"/>
        <v>904.72316207777067</v>
      </c>
    </row>
    <row r="717" spans="1:12" x14ac:dyDescent="0.25">
      <c r="A717">
        <v>715</v>
      </c>
      <c r="B717" s="1">
        <v>1428</v>
      </c>
      <c r="C717" s="1">
        <v>1807.5574679660949</v>
      </c>
      <c r="D717">
        <f t="shared" si="67"/>
        <v>-903.77873398304746</v>
      </c>
      <c r="E717">
        <f t="shared" si="68"/>
        <v>903.77873398304746</v>
      </c>
      <c r="F717" s="7">
        <f t="shared" si="72"/>
        <v>2399839.4042737689</v>
      </c>
      <c r="G717" s="2">
        <f t="shared" si="69"/>
        <v>1428</v>
      </c>
      <c r="J717" s="2">
        <v>1807.5574679660949</v>
      </c>
      <c r="K717" s="2">
        <f t="shared" si="70"/>
        <v>-903.77873398304746</v>
      </c>
      <c r="L717" s="2">
        <f t="shared" si="71"/>
        <v>903.77873398304746</v>
      </c>
    </row>
    <row r="718" spans="1:12" x14ac:dyDescent="0.25">
      <c r="A718">
        <v>716</v>
      </c>
      <c r="B718" s="1">
        <v>1430</v>
      </c>
      <c r="C718" s="1">
        <v>1805.6577748842665</v>
      </c>
      <c r="D718">
        <f t="shared" si="67"/>
        <v>-902.82888744213324</v>
      </c>
      <c r="E718">
        <f t="shared" si="68"/>
        <v>902.82888744213324</v>
      </c>
      <c r="F718" s="7">
        <f t="shared" si="72"/>
        <v>2403452.6195166195</v>
      </c>
      <c r="G718" s="2">
        <f t="shared" si="69"/>
        <v>1430</v>
      </c>
      <c r="J718" s="2">
        <v>1805.6577748842665</v>
      </c>
      <c r="K718" s="2">
        <f t="shared" si="70"/>
        <v>-902.82888744213324</v>
      </c>
      <c r="L718" s="2">
        <f t="shared" si="71"/>
        <v>902.82888744213324</v>
      </c>
    </row>
    <row r="719" spans="1:12" x14ac:dyDescent="0.25">
      <c r="A719">
        <v>717</v>
      </c>
      <c r="B719" s="1">
        <v>1432</v>
      </c>
      <c r="C719" s="1">
        <v>1803.7472106700538</v>
      </c>
      <c r="D719">
        <f t="shared" si="67"/>
        <v>-901.87360533502692</v>
      </c>
      <c r="E719">
        <f t="shared" si="68"/>
        <v>901.87360533502692</v>
      </c>
      <c r="F719" s="7">
        <f t="shared" si="72"/>
        <v>2407062.024502174</v>
      </c>
      <c r="G719" s="2">
        <f t="shared" si="69"/>
        <v>1432</v>
      </c>
      <c r="J719" s="2">
        <v>1803.7472106700538</v>
      </c>
      <c r="K719" s="2">
        <f t="shared" si="70"/>
        <v>-901.87360533502692</v>
      </c>
      <c r="L719" s="2">
        <f t="shared" si="71"/>
        <v>901.87360533502692</v>
      </c>
    </row>
    <row r="720" spans="1:12" x14ac:dyDescent="0.25">
      <c r="A720">
        <v>718</v>
      </c>
      <c r="B720" s="1">
        <v>1434</v>
      </c>
      <c r="C720" s="1">
        <v>1801.8257407418732</v>
      </c>
      <c r="D720">
        <f t="shared" si="67"/>
        <v>-900.91287037093662</v>
      </c>
      <c r="E720">
        <f t="shared" si="68"/>
        <v>900.91287037093662</v>
      </c>
      <c r="F720" s="7">
        <f t="shared" si="72"/>
        <v>2410667.5974535858</v>
      </c>
      <c r="G720" s="2">
        <f t="shared" si="69"/>
        <v>1434</v>
      </c>
      <c r="J720" s="2">
        <v>1801.8257407418732</v>
      </c>
      <c r="K720" s="2">
        <f t="shared" si="70"/>
        <v>-900.91287037093662</v>
      </c>
      <c r="L720" s="2">
        <f t="shared" si="71"/>
        <v>900.91287037093662</v>
      </c>
    </row>
    <row r="721" spans="1:12" x14ac:dyDescent="0.25">
      <c r="A721">
        <v>719</v>
      </c>
      <c r="B721" s="1">
        <v>1436</v>
      </c>
      <c r="C721" s="1">
        <v>1799.8933301726522</v>
      </c>
      <c r="D721">
        <f t="shared" si="67"/>
        <v>-899.94666508632611</v>
      </c>
      <c r="E721">
        <f t="shared" si="68"/>
        <v>899.94666508632611</v>
      </c>
      <c r="F721" s="7">
        <f t="shared" si="72"/>
        <v>2414269.3165245005</v>
      </c>
      <c r="G721" s="2">
        <f t="shared" si="69"/>
        <v>1436</v>
      </c>
      <c r="J721" s="2">
        <v>1799.8933301726522</v>
      </c>
      <c r="K721" s="2">
        <f t="shared" si="70"/>
        <v>-899.94666508632611</v>
      </c>
      <c r="L721" s="2">
        <f t="shared" si="71"/>
        <v>899.94666508632611</v>
      </c>
    </row>
    <row r="722" spans="1:12" x14ac:dyDescent="0.25">
      <c r="A722">
        <v>720</v>
      </c>
      <c r="B722" s="1">
        <v>1438</v>
      </c>
      <c r="C722" s="1">
        <v>1797.9499436858637</v>
      </c>
      <c r="D722">
        <f t="shared" si="67"/>
        <v>-898.97497184293184</v>
      </c>
      <c r="E722">
        <f t="shared" si="68"/>
        <v>898.97497184293184</v>
      </c>
      <c r="F722" s="7">
        <f t="shared" si="72"/>
        <v>2417867.159798359</v>
      </c>
      <c r="G722" s="2">
        <f t="shared" si="69"/>
        <v>1438</v>
      </c>
      <c r="J722" s="2">
        <v>1797.9499436858637</v>
      </c>
      <c r="K722" s="2">
        <f t="shared" si="70"/>
        <v>-898.97497184293184</v>
      </c>
      <c r="L722" s="2">
        <f t="shared" si="71"/>
        <v>898.97497184293184</v>
      </c>
    </row>
    <row r="723" spans="1:12" x14ac:dyDescent="0.25">
      <c r="A723">
        <v>721</v>
      </c>
      <c r="B723" s="1">
        <v>1440</v>
      </c>
      <c r="C723" s="1">
        <v>1795.995545651492</v>
      </c>
      <c r="D723">
        <f t="shared" si="67"/>
        <v>-897.99777282574598</v>
      </c>
      <c r="E723">
        <f t="shared" si="68"/>
        <v>897.99777282574598</v>
      </c>
      <c r="F723" s="7">
        <f t="shared" si="72"/>
        <v>2421461.1052876962</v>
      </c>
      <c r="G723" s="2">
        <f t="shared" si="69"/>
        <v>1440</v>
      </c>
      <c r="J723" s="2">
        <v>1795.995545651492</v>
      </c>
      <c r="K723" s="2">
        <f t="shared" si="70"/>
        <v>-897.99777282574598</v>
      </c>
      <c r="L723" s="2">
        <f t="shared" si="71"/>
        <v>897.99777282574598</v>
      </c>
    </row>
    <row r="724" spans="1:12" x14ac:dyDescent="0.25">
      <c r="A724">
        <v>722</v>
      </c>
      <c r="B724" s="1">
        <v>1442</v>
      </c>
      <c r="C724" s="1">
        <v>1794.0301000819356</v>
      </c>
      <c r="D724">
        <f t="shared" si="67"/>
        <v>-897.01505004096782</v>
      </c>
      <c r="E724">
        <f t="shared" si="68"/>
        <v>897.01505004096782</v>
      </c>
      <c r="F724" s="7">
        <f t="shared" si="72"/>
        <v>2425051.1309334296</v>
      </c>
      <c r="G724" s="2">
        <f t="shared" si="69"/>
        <v>1442</v>
      </c>
      <c r="J724" s="2">
        <v>1794.0301000819356</v>
      </c>
      <c r="K724" s="2">
        <f t="shared" si="70"/>
        <v>-897.01505004096782</v>
      </c>
      <c r="L724" s="2">
        <f t="shared" si="71"/>
        <v>897.01505004096782</v>
      </c>
    </row>
    <row r="725" spans="1:12" x14ac:dyDescent="0.25">
      <c r="A725">
        <v>723</v>
      </c>
      <c r="B725" s="1">
        <v>1444</v>
      </c>
      <c r="C725" s="1">
        <v>1792.0535706278426</v>
      </c>
      <c r="D725">
        <f t="shared" si="67"/>
        <v>-896.02678531392132</v>
      </c>
      <c r="E725">
        <f t="shared" si="68"/>
        <v>896.02678531392132</v>
      </c>
      <c r="F725" s="7">
        <f t="shared" si="72"/>
        <v>2428637.2146041393</v>
      </c>
      <c r="G725" s="2">
        <f t="shared" si="69"/>
        <v>1444</v>
      </c>
      <c r="J725" s="2">
        <v>1792.0535706278426</v>
      </c>
      <c r="K725" s="2">
        <f t="shared" si="70"/>
        <v>-896.02678531392132</v>
      </c>
      <c r="L725" s="2">
        <f t="shared" si="71"/>
        <v>896.02678531392132</v>
      </c>
    </row>
    <row r="726" spans="1:12" x14ac:dyDescent="0.25">
      <c r="A726">
        <v>724</v>
      </c>
      <c r="B726" s="1">
        <v>1446</v>
      </c>
      <c r="C726" s="1">
        <v>1790.0659205738766</v>
      </c>
      <c r="D726">
        <f t="shared" si="67"/>
        <v>-895.03296028693831</v>
      </c>
      <c r="E726">
        <f t="shared" si="68"/>
        <v>895.03296028693831</v>
      </c>
      <c r="F726" s="7">
        <f t="shared" si="72"/>
        <v>2432219.3340953412</v>
      </c>
      <c r="G726" s="2">
        <f t="shared" si="69"/>
        <v>1446</v>
      </c>
      <c r="J726" s="2">
        <v>1790.0659205738766</v>
      </c>
      <c r="K726" s="2">
        <f t="shared" si="70"/>
        <v>-895.03296028693831</v>
      </c>
      <c r="L726" s="2">
        <f t="shared" si="71"/>
        <v>895.03296028693831</v>
      </c>
    </row>
    <row r="727" spans="1:12" x14ac:dyDescent="0.25">
      <c r="A727">
        <v>725</v>
      </c>
      <c r="B727" s="1">
        <v>1448</v>
      </c>
      <c r="C727" s="1">
        <v>1788.0671128344147</v>
      </c>
      <c r="D727">
        <f t="shared" si="67"/>
        <v>-894.03355641720736</v>
      </c>
      <c r="E727">
        <f t="shared" si="68"/>
        <v>894.03355641720736</v>
      </c>
      <c r="F727" s="7">
        <f t="shared" si="72"/>
        <v>2435797.4671287495</v>
      </c>
      <c r="G727" s="2">
        <f t="shared" si="69"/>
        <v>1448</v>
      </c>
      <c r="J727" s="2">
        <v>1788.0671128344147</v>
      </c>
      <c r="K727" s="2">
        <f t="shared" si="70"/>
        <v>-894.03355641720736</v>
      </c>
      <c r="L727" s="2">
        <f t="shared" si="71"/>
        <v>894.03355641720736</v>
      </c>
    </row>
    <row r="728" spans="1:12" x14ac:dyDescent="0.25">
      <c r="A728">
        <v>726</v>
      </c>
      <c r="B728" s="1">
        <v>1450</v>
      </c>
      <c r="C728" s="1">
        <v>1786.0571099491751</v>
      </c>
      <c r="D728">
        <f t="shared" si="67"/>
        <v>-893.02855497458756</v>
      </c>
      <c r="E728">
        <f t="shared" si="68"/>
        <v>893.02855497458756</v>
      </c>
      <c r="F728" s="7">
        <f t="shared" si="72"/>
        <v>2439371.5913515328</v>
      </c>
      <c r="G728" s="2">
        <f t="shared" si="69"/>
        <v>1450</v>
      </c>
      <c r="J728" s="2">
        <v>1786.0571099491751</v>
      </c>
      <c r="K728" s="2">
        <f t="shared" si="70"/>
        <v>-893.02855497458756</v>
      </c>
      <c r="L728" s="2">
        <f t="shared" si="71"/>
        <v>893.02855497458756</v>
      </c>
    </row>
    <row r="729" spans="1:12" x14ac:dyDescent="0.25">
      <c r="A729">
        <v>727</v>
      </c>
      <c r="B729" s="1">
        <v>1452</v>
      </c>
      <c r="C729" s="1">
        <v>1784.0358740787697</v>
      </c>
      <c r="D729">
        <f t="shared" si="67"/>
        <v>-892.01793703938483</v>
      </c>
      <c r="E729">
        <f t="shared" si="68"/>
        <v>892.01793703938483</v>
      </c>
      <c r="F729" s="7">
        <f t="shared" si="72"/>
        <v>2442941.684335561</v>
      </c>
      <c r="G729" s="2">
        <f t="shared" si="69"/>
        <v>1452</v>
      </c>
      <c r="J729" s="2">
        <v>1784.0358740787697</v>
      </c>
      <c r="K729" s="2">
        <f t="shared" si="70"/>
        <v>-892.01793703938483</v>
      </c>
      <c r="L729" s="2">
        <f t="shared" si="71"/>
        <v>892.01793703938483</v>
      </c>
    </row>
    <row r="730" spans="1:12" x14ac:dyDescent="0.25">
      <c r="A730">
        <v>728</v>
      </c>
      <c r="B730" s="1">
        <v>1454</v>
      </c>
      <c r="C730" s="1">
        <v>1782.003367000186</v>
      </c>
      <c r="D730">
        <f t="shared" si="67"/>
        <v>-891.00168350009301</v>
      </c>
      <c r="E730">
        <f t="shared" si="68"/>
        <v>891.00168350009301</v>
      </c>
      <c r="F730" s="7">
        <f t="shared" si="72"/>
        <v>2446507.7235766398</v>
      </c>
      <c r="G730" s="2">
        <f t="shared" si="69"/>
        <v>1454</v>
      </c>
      <c r="J730" s="2">
        <v>1782.003367000186</v>
      </c>
      <c r="K730" s="2">
        <f t="shared" si="70"/>
        <v>-891.00168350009301</v>
      </c>
      <c r="L730" s="2">
        <f t="shared" si="71"/>
        <v>891.00168350009301</v>
      </c>
    </row>
    <row r="731" spans="1:12" x14ac:dyDescent="0.25">
      <c r="A731">
        <v>729</v>
      </c>
      <c r="B731" s="1">
        <v>1456</v>
      </c>
      <c r="C731" s="1">
        <v>1779.9595501021927</v>
      </c>
      <c r="D731">
        <f t="shared" si="67"/>
        <v>-889.97977505109634</v>
      </c>
      <c r="E731">
        <f t="shared" si="68"/>
        <v>889.97977505109634</v>
      </c>
      <c r="F731" s="7">
        <f t="shared" si="72"/>
        <v>2450069.6864937423</v>
      </c>
      <c r="G731" s="2">
        <f t="shared" si="69"/>
        <v>1456</v>
      </c>
      <c r="J731" s="2">
        <v>1779.9595501021927</v>
      </c>
      <c r="K731" s="2">
        <f t="shared" si="70"/>
        <v>-889.97977505109634</v>
      </c>
      <c r="L731" s="2">
        <f t="shared" si="71"/>
        <v>889.97977505109634</v>
      </c>
    </row>
    <row r="732" spans="1:12" x14ac:dyDescent="0.25">
      <c r="A732">
        <v>730</v>
      </c>
      <c r="B732" s="1">
        <v>1458</v>
      </c>
      <c r="C732" s="1">
        <v>1777.9043843806674</v>
      </c>
      <c r="D732">
        <f t="shared" si="67"/>
        <v>-888.95219219033368</v>
      </c>
      <c r="E732">
        <f t="shared" si="68"/>
        <v>888.95219219033368</v>
      </c>
      <c r="F732" s="7">
        <f t="shared" si="72"/>
        <v>2453627.5504282252</v>
      </c>
      <c r="G732" s="2">
        <f t="shared" si="69"/>
        <v>1458</v>
      </c>
      <c r="J732" s="2">
        <v>1777.9043843806674</v>
      </c>
      <c r="K732" s="2">
        <f t="shared" si="70"/>
        <v>-888.95219219033368</v>
      </c>
      <c r="L732" s="2">
        <f t="shared" si="71"/>
        <v>888.95219219033368</v>
      </c>
    </row>
    <row r="733" spans="1:12" x14ac:dyDescent="0.25">
      <c r="A733">
        <v>731</v>
      </c>
      <c r="B733" s="1">
        <v>1460</v>
      </c>
      <c r="C733" s="1">
        <v>1775.8378304338491</v>
      </c>
      <c r="D733">
        <f t="shared" si="67"/>
        <v>-887.91891521692457</v>
      </c>
      <c r="E733">
        <f t="shared" si="68"/>
        <v>887.91891521692457</v>
      </c>
      <c r="F733" s="7">
        <f t="shared" si="72"/>
        <v>2457181.2926430395</v>
      </c>
      <c r="G733" s="2">
        <f t="shared" si="69"/>
        <v>1460</v>
      </c>
      <c r="J733" s="2">
        <v>1775.8378304338491</v>
      </c>
      <c r="K733" s="2">
        <f t="shared" si="70"/>
        <v>-887.91891521692457</v>
      </c>
      <c r="L733" s="2">
        <f t="shared" si="71"/>
        <v>887.91891521692457</v>
      </c>
    </row>
    <row r="734" spans="1:12" x14ac:dyDescent="0.25">
      <c r="A734">
        <v>732</v>
      </c>
      <c r="B734" s="1">
        <v>1462</v>
      </c>
      <c r="C734" s="1">
        <v>1773.7598484575076</v>
      </c>
      <c r="D734">
        <f t="shared" si="67"/>
        <v>-886.87992422875379</v>
      </c>
      <c r="E734">
        <f t="shared" si="68"/>
        <v>886.87992422875379</v>
      </c>
      <c r="F734" s="7">
        <f t="shared" si="72"/>
        <v>2460730.8903219309</v>
      </c>
      <c r="G734" s="2">
        <f t="shared" si="69"/>
        <v>1462</v>
      </c>
      <c r="J734" s="2">
        <v>1773.7598484575076</v>
      </c>
      <c r="K734" s="2">
        <f t="shared" si="70"/>
        <v>-886.87992422875379</v>
      </c>
      <c r="L734" s="2">
        <f t="shared" si="71"/>
        <v>886.87992422875379</v>
      </c>
    </row>
    <row r="735" spans="1:12" x14ac:dyDescent="0.25">
      <c r="A735">
        <v>733</v>
      </c>
      <c r="B735" s="1">
        <v>1464</v>
      </c>
      <c r="C735" s="1">
        <v>1771.6703982400338</v>
      </c>
      <c r="D735">
        <f t="shared" si="67"/>
        <v>-885.83519912001691</v>
      </c>
      <c r="E735">
        <f t="shared" si="68"/>
        <v>885.83519912001691</v>
      </c>
      <c r="F735" s="7">
        <f t="shared" si="72"/>
        <v>2464276.3205686286</v>
      </c>
      <c r="G735" s="2">
        <f t="shared" si="69"/>
        <v>1464</v>
      </c>
      <c r="J735" s="2">
        <v>1771.6703982400338</v>
      </c>
      <c r="K735" s="2">
        <f t="shared" si="70"/>
        <v>-885.83519912001691</v>
      </c>
      <c r="L735" s="2">
        <f t="shared" si="71"/>
        <v>885.83519912001691</v>
      </c>
    </row>
    <row r="736" spans="1:12" x14ac:dyDescent="0.25">
      <c r="A736">
        <v>734</v>
      </c>
      <c r="B736" s="1">
        <v>1466</v>
      </c>
      <c r="C736" s="1">
        <v>1769.5694391574466</v>
      </c>
      <c r="D736">
        <f t="shared" si="67"/>
        <v>-884.7847195787233</v>
      </c>
      <c r="E736">
        <f t="shared" si="68"/>
        <v>884.7847195787233</v>
      </c>
      <c r="F736" s="7">
        <f t="shared" si="72"/>
        <v>2467817.560406026</v>
      </c>
      <c r="G736" s="2">
        <f t="shared" si="69"/>
        <v>1466</v>
      </c>
      <c r="J736" s="2">
        <v>1769.5694391574466</v>
      </c>
      <c r="K736" s="2">
        <f t="shared" si="70"/>
        <v>-884.7847195787233</v>
      </c>
      <c r="L736" s="2">
        <f t="shared" si="71"/>
        <v>884.7847195787233</v>
      </c>
    </row>
    <row r="737" spans="1:12" x14ac:dyDescent="0.25">
      <c r="A737">
        <v>735</v>
      </c>
      <c r="B737" s="1">
        <v>1468</v>
      </c>
      <c r="C737" s="1">
        <v>1767.4569301683139</v>
      </c>
      <c r="D737">
        <f t="shared" si="67"/>
        <v>-883.72846508415694</v>
      </c>
      <c r="E737">
        <f t="shared" si="68"/>
        <v>883.72846508415694</v>
      </c>
      <c r="F737" s="7">
        <f t="shared" si="72"/>
        <v>2471354.5867753518</v>
      </c>
      <c r="G737" s="2">
        <f t="shared" si="69"/>
        <v>1468</v>
      </c>
      <c r="J737" s="2">
        <v>1767.4569301683139</v>
      </c>
      <c r="K737" s="2">
        <f t="shared" si="70"/>
        <v>-883.72846508415694</v>
      </c>
      <c r="L737" s="2">
        <f t="shared" si="71"/>
        <v>883.72846508415694</v>
      </c>
    </row>
    <row r="738" spans="1:12" x14ac:dyDescent="0.25">
      <c r="A738">
        <v>736</v>
      </c>
      <c r="B738" s="1">
        <v>1470</v>
      </c>
      <c r="C738" s="1">
        <v>1765.3328298085887</v>
      </c>
      <c r="D738">
        <f t="shared" si="67"/>
        <v>-882.66641490429436</v>
      </c>
      <c r="E738">
        <f t="shared" si="68"/>
        <v>882.66641490429436</v>
      </c>
      <c r="F738" s="7">
        <f t="shared" si="72"/>
        <v>2474887.3765353286</v>
      </c>
      <c r="G738" s="2">
        <f t="shared" si="69"/>
        <v>1470</v>
      </c>
      <c r="J738" s="2">
        <v>1765.3328298085887</v>
      </c>
      <c r="K738" s="2">
        <f t="shared" si="70"/>
        <v>-882.66641490429436</v>
      </c>
      <c r="L738" s="2">
        <f t="shared" si="71"/>
        <v>882.66641490429436</v>
      </c>
    </row>
    <row r="739" spans="1:12" x14ac:dyDescent="0.25">
      <c r="A739">
        <v>737</v>
      </c>
      <c r="B739" s="1">
        <v>1472</v>
      </c>
      <c r="C739" s="1">
        <v>1763.1970961863565</v>
      </c>
      <c r="D739">
        <f t="shared" si="67"/>
        <v>-881.59854809317824</v>
      </c>
      <c r="E739">
        <f t="shared" si="68"/>
        <v>881.59854809317824</v>
      </c>
      <c r="F739" s="7">
        <f t="shared" si="72"/>
        <v>2478415.9064613236</v>
      </c>
      <c r="G739" s="2">
        <f t="shared" si="69"/>
        <v>1472</v>
      </c>
      <c r="J739" s="2">
        <v>1763.1970961863565</v>
      </c>
      <c r="K739" s="2">
        <f t="shared" si="70"/>
        <v>-881.59854809317824</v>
      </c>
      <c r="L739" s="2">
        <f t="shared" si="71"/>
        <v>881.59854809317824</v>
      </c>
    </row>
    <row r="740" spans="1:12" x14ac:dyDescent="0.25">
      <c r="A740">
        <v>738</v>
      </c>
      <c r="B740" s="1">
        <v>1474</v>
      </c>
      <c r="C740" s="1">
        <v>1761.0496869764918</v>
      </c>
      <c r="D740">
        <f t="shared" si="67"/>
        <v>-880.52484348824589</v>
      </c>
      <c r="E740">
        <f t="shared" si="68"/>
        <v>880.52484348824589</v>
      </c>
      <c r="F740" s="7">
        <f t="shared" si="72"/>
        <v>2481940.1532444865</v>
      </c>
      <c r="G740" s="2">
        <f t="shared" si="69"/>
        <v>1474</v>
      </c>
      <c r="J740" s="2">
        <v>1761.0496869764918</v>
      </c>
      <c r="K740" s="2">
        <f t="shared" si="70"/>
        <v>-880.52484348824589</v>
      </c>
      <c r="L740" s="2">
        <f t="shared" si="71"/>
        <v>880.52484348824589</v>
      </c>
    </row>
    <row r="741" spans="1:12" x14ac:dyDescent="0.25">
      <c r="A741">
        <v>739</v>
      </c>
      <c r="B741" s="1">
        <v>1476</v>
      </c>
      <c r="C741" s="1">
        <v>1758.8905594152241</v>
      </c>
      <c r="D741">
        <f t="shared" si="67"/>
        <v>-879.44527970761203</v>
      </c>
      <c r="E741">
        <f t="shared" si="68"/>
        <v>879.44527970761203</v>
      </c>
      <c r="F741" s="7">
        <f t="shared" si="72"/>
        <v>2485460.0934908781</v>
      </c>
      <c r="G741" s="2">
        <f t="shared" si="69"/>
        <v>1476</v>
      </c>
      <c r="J741" s="2">
        <v>1758.8905594152241</v>
      </c>
      <c r="K741" s="2">
        <f t="shared" si="70"/>
        <v>-879.44527970761203</v>
      </c>
      <c r="L741" s="2">
        <f t="shared" si="71"/>
        <v>879.44527970761203</v>
      </c>
    </row>
    <row r="742" spans="1:12" x14ac:dyDescent="0.25">
      <c r="A742">
        <v>740</v>
      </c>
      <c r="B742" s="1">
        <v>1478</v>
      </c>
      <c r="C742" s="1">
        <v>1756.7196702946092</v>
      </c>
      <c r="D742">
        <f t="shared" si="67"/>
        <v>-878.35983514730458</v>
      </c>
      <c r="E742">
        <f t="shared" si="68"/>
        <v>878.35983514730458</v>
      </c>
      <c r="F742" s="7">
        <f t="shared" si="72"/>
        <v>2488975.7037205878</v>
      </c>
      <c r="G742" s="2">
        <f t="shared" si="69"/>
        <v>1478</v>
      </c>
      <c r="J742" s="2">
        <v>1756.7196702946092</v>
      </c>
      <c r="K742" s="2">
        <f t="shared" si="70"/>
        <v>-878.35983514730458</v>
      </c>
      <c r="L742" s="2">
        <f t="shared" si="71"/>
        <v>878.35983514730458</v>
      </c>
    </row>
    <row r="743" spans="1:12" x14ac:dyDescent="0.25">
      <c r="A743">
        <v>741</v>
      </c>
      <c r="B743" s="1">
        <v>1480</v>
      </c>
      <c r="C743" s="1">
        <v>1754.5369759569046</v>
      </c>
      <c r="D743">
        <f t="shared" si="67"/>
        <v>-877.2684879784523</v>
      </c>
      <c r="E743">
        <f t="shared" si="68"/>
        <v>877.2684879784523</v>
      </c>
      <c r="F743" s="7">
        <f t="shared" si="72"/>
        <v>2492486.9603668391</v>
      </c>
      <c r="G743" s="2">
        <f t="shared" si="69"/>
        <v>1480</v>
      </c>
      <c r="J743" s="2">
        <v>1754.5369759569046</v>
      </c>
      <c r="K743" s="2">
        <f t="shared" si="70"/>
        <v>-877.2684879784523</v>
      </c>
      <c r="L743" s="2">
        <f t="shared" si="71"/>
        <v>877.2684879784523</v>
      </c>
    </row>
    <row r="744" spans="1:12" x14ac:dyDescent="0.25">
      <c r="A744">
        <v>742</v>
      </c>
      <c r="B744" s="1">
        <v>1482</v>
      </c>
      <c r="C744" s="1">
        <v>1752.3424322888493</v>
      </c>
      <c r="D744">
        <f t="shared" si="67"/>
        <v>-876.17121614442465</v>
      </c>
      <c r="E744">
        <f t="shared" si="68"/>
        <v>876.17121614442465</v>
      </c>
      <c r="F744" s="7">
        <f t="shared" si="72"/>
        <v>2495993.839775085</v>
      </c>
      <c r="G744" s="2">
        <f t="shared" si="69"/>
        <v>1482</v>
      </c>
      <c r="J744" s="2">
        <v>1752.3424322888493</v>
      </c>
      <c r="K744" s="2">
        <f t="shared" si="70"/>
        <v>-876.17121614442465</v>
      </c>
      <c r="L744" s="2">
        <f t="shared" si="71"/>
        <v>876.17121614442465</v>
      </c>
    </row>
    <row r="745" spans="1:12" x14ac:dyDescent="0.25">
      <c r="A745">
        <v>743</v>
      </c>
      <c r="B745" s="1">
        <v>1484</v>
      </c>
      <c r="C745" s="1">
        <v>1750.1359947158392</v>
      </c>
      <c r="D745">
        <f t="shared" si="67"/>
        <v>-875.06799735791958</v>
      </c>
      <c r="E745">
        <f t="shared" si="68"/>
        <v>875.06799735791958</v>
      </c>
      <c r="F745" s="7">
        <f t="shared" si="72"/>
        <v>2499496.3182020895</v>
      </c>
      <c r="G745" s="2">
        <f t="shared" si="69"/>
        <v>1484</v>
      </c>
      <c r="J745" s="2">
        <v>1750.1359947158392</v>
      </c>
      <c r="K745" s="2">
        <f t="shared" si="70"/>
        <v>-875.06799735791958</v>
      </c>
      <c r="L745" s="2">
        <f t="shared" si="71"/>
        <v>875.06799735791958</v>
      </c>
    </row>
    <row r="746" spans="1:12" x14ac:dyDescent="0.25">
      <c r="A746">
        <v>744</v>
      </c>
      <c r="B746" s="1">
        <v>1486</v>
      </c>
      <c r="C746" s="1">
        <v>1747.9176181960063</v>
      </c>
      <c r="D746">
        <f t="shared" si="67"/>
        <v>-873.95880909800314</v>
      </c>
      <c r="E746">
        <f t="shared" si="68"/>
        <v>873.95880909800314</v>
      </c>
      <c r="F746" s="7">
        <f t="shared" si="72"/>
        <v>2502994.3718150016</v>
      </c>
      <c r="G746" s="2">
        <f t="shared" si="69"/>
        <v>1486</v>
      </c>
      <c r="J746" s="2">
        <v>1747.9176181960063</v>
      </c>
      <c r="K746" s="2">
        <f t="shared" si="70"/>
        <v>-873.95880909800314</v>
      </c>
      <c r="L746" s="2">
        <f t="shared" si="71"/>
        <v>873.95880909800314</v>
      </c>
    </row>
    <row r="747" spans="1:12" x14ac:dyDescent="0.25">
      <c r="A747">
        <v>745</v>
      </c>
      <c r="B747" s="1">
        <v>1488</v>
      </c>
      <c r="C747" s="1">
        <v>1745.6872572141895</v>
      </c>
      <c r="D747">
        <f t="shared" si="67"/>
        <v>-872.84362860709473</v>
      </c>
      <c r="E747">
        <f t="shared" si="68"/>
        <v>872.84362860709473</v>
      </c>
      <c r="F747" s="7">
        <f t="shared" si="72"/>
        <v>2506487.9766904116</v>
      </c>
      <c r="G747" s="2">
        <f t="shared" si="69"/>
        <v>1488</v>
      </c>
      <c r="J747" s="2">
        <v>1745.6872572141895</v>
      </c>
      <c r="K747" s="2">
        <f t="shared" si="70"/>
        <v>-872.84362860709473</v>
      </c>
      <c r="L747" s="2">
        <f t="shared" si="71"/>
        <v>872.84362860709473</v>
      </c>
    </row>
    <row r="748" spans="1:12" x14ac:dyDescent="0.25">
      <c r="A748">
        <v>746</v>
      </c>
      <c r="B748" s="1">
        <v>1490</v>
      </c>
      <c r="C748" s="1">
        <v>1743.4448657758007</v>
      </c>
      <c r="D748">
        <f t="shared" si="67"/>
        <v>-871.72243288790037</v>
      </c>
      <c r="E748">
        <f t="shared" si="68"/>
        <v>871.72243288790037</v>
      </c>
      <c r="F748" s="7">
        <f t="shared" si="72"/>
        <v>2509977.1088134018</v>
      </c>
      <c r="G748" s="2">
        <f t="shared" si="69"/>
        <v>1490</v>
      </c>
      <c r="J748" s="2">
        <v>1743.4448657758007</v>
      </c>
      <c r="K748" s="2">
        <f t="shared" si="70"/>
        <v>-871.72243288790037</v>
      </c>
      <c r="L748" s="2">
        <f t="shared" si="71"/>
        <v>871.72243288790037</v>
      </c>
    </row>
    <row r="749" spans="1:12" x14ac:dyDescent="0.25">
      <c r="A749">
        <v>747</v>
      </c>
      <c r="B749" s="1">
        <v>1492</v>
      </c>
      <c r="C749" s="1">
        <v>1741.1903974005829</v>
      </c>
      <c r="D749">
        <f t="shared" si="67"/>
        <v>-870.59519870029146</v>
      </c>
      <c r="E749">
        <f t="shared" si="68"/>
        <v>870.59519870029146</v>
      </c>
      <c r="F749" s="7">
        <f t="shared" si="72"/>
        <v>2513461.7440765779</v>
      </c>
      <c r="G749" s="2">
        <f t="shared" si="69"/>
        <v>1492</v>
      </c>
      <c r="J749" s="2">
        <v>1741.1903974005829</v>
      </c>
      <c r="K749" s="2">
        <f t="shared" si="70"/>
        <v>-870.59519870029146</v>
      </c>
      <c r="L749" s="2">
        <f t="shared" si="71"/>
        <v>870.59519870029146</v>
      </c>
    </row>
    <row r="750" spans="1:12" x14ac:dyDescent="0.25">
      <c r="A750">
        <v>748</v>
      </c>
      <c r="B750" s="1">
        <v>1494</v>
      </c>
      <c r="C750" s="1">
        <v>1738.9238051162563</v>
      </c>
      <c r="D750">
        <f t="shared" si="67"/>
        <v>-869.46190255812814</v>
      </c>
      <c r="E750">
        <f t="shared" si="68"/>
        <v>869.46190255812814</v>
      </c>
      <c r="F750" s="7">
        <f t="shared" si="72"/>
        <v>2516941.8582790946</v>
      </c>
      <c r="G750" s="2">
        <f t="shared" si="69"/>
        <v>1494</v>
      </c>
      <c r="J750" s="2">
        <v>1738.9238051162563</v>
      </c>
      <c r="K750" s="2">
        <f t="shared" si="70"/>
        <v>-869.46190255812814</v>
      </c>
      <c r="L750" s="2">
        <f t="shared" si="71"/>
        <v>869.46190255812814</v>
      </c>
    </row>
    <row r="751" spans="1:12" x14ac:dyDescent="0.25">
      <c r="A751">
        <v>749</v>
      </c>
      <c r="B751" s="1">
        <v>1496</v>
      </c>
      <c r="C751" s="1">
        <v>1736.6450414520523</v>
      </c>
      <c r="D751">
        <f t="shared" si="67"/>
        <v>-868.32252072602614</v>
      </c>
      <c r="E751">
        <f t="shared" si="68"/>
        <v>868.32252072602614</v>
      </c>
      <c r="F751" s="7">
        <f t="shared" si="72"/>
        <v>2520417.427125663</v>
      </c>
      <c r="G751" s="2">
        <f t="shared" si="69"/>
        <v>1496</v>
      </c>
      <c r="J751" s="2">
        <v>1736.6450414520523</v>
      </c>
      <c r="K751" s="2">
        <f t="shared" si="70"/>
        <v>-868.32252072602614</v>
      </c>
      <c r="L751" s="2">
        <f t="shared" si="71"/>
        <v>868.32252072602614</v>
      </c>
    </row>
    <row r="752" spans="1:12" x14ac:dyDescent="0.25">
      <c r="A752">
        <v>750</v>
      </c>
      <c r="B752" s="1">
        <v>1498</v>
      </c>
      <c r="C752" s="1">
        <v>1734.3540584321299</v>
      </c>
      <c r="D752">
        <f t="shared" si="67"/>
        <v>-867.17702921606497</v>
      </c>
      <c r="E752">
        <f t="shared" si="68"/>
        <v>867.17702921606497</v>
      </c>
      <c r="F752" s="7">
        <f t="shared" si="72"/>
        <v>2523888.4262255472</v>
      </c>
      <c r="G752" s="2">
        <f t="shared" si="69"/>
        <v>1498</v>
      </c>
      <c r="J752" s="2">
        <v>1734.3540584321299</v>
      </c>
      <c r="K752" s="2">
        <f t="shared" si="70"/>
        <v>-867.17702921606497</v>
      </c>
      <c r="L752" s="2">
        <f t="shared" si="71"/>
        <v>867.17702921606497</v>
      </c>
    </row>
    <row r="753" spans="1:12" x14ac:dyDescent="0.25">
      <c r="A753">
        <v>751</v>
      </c>
      <c r="B753" s="1">
        <v>1500</v>
      </c>
      <c r="C753" s="1">
        <v>1732.0508075688772</v>
      </c>
      <c r="D753">
        <f t="shared" si="67"/>
        <v>-866.02540378443859</v>
      </c>
      <c r="E753">
        <f t="shared" si="68"/>
        <v>866.02540378443859</v>
      </c>
      <c r="F753" s="7">
        <f t="shared" si="72"/>
        <v>2527354.8310915483</v>
      </c>
      <c r="G753" s="2">
        <f t="shared" si="69"/>
        <v>1500</v>
      </c>
      <c r="J753" s="2">
        <v>1732.0508075688772</v>
      </c>
      <c r="K753" s="2">
        <f t="shared" si="70"/>
        <v>-866.02540378443859</v>
      </c>
      <c r="L753" s="2">
        <f t="shared" si="71"/>
        <v>866.02540378443859</v>
      </c>
    </row>
    <row r="754" spans="1:12" x14ac:dyDescent="0.25">
      <c r="A754">
        <v>752</v>
      </c>
      <c r="B754" s="1">
        <v>1502</v>
      </c>
      <c r="C754" s="1">
        <v>1729.7352398560886</v>
      </c>
      <c r="D754">
        <f t="shared" si="67"/>
        <v>-864.86761992804429</v>
      </c>
      <c r="E754">
        <f t="shared" si="68"/>
        <v>864.86761992804429</v>
      </c>
      <c r="F754" s="7">
        <f t="shared" si="72"/>
        <v>2530816.6171389734</v>
      </c>
      <c r="G754" s="2">
        <f t="shared" si="69"/>
        <v>1502</v>
      </c>
      <c r="J754" s="2">
        <v>1729.7352398560886</v>
      </c>
      <c r="K754" s="2">
        <f t="shared" si="70"/>
        <v>-864.86761992804429</v>
      </c>
      <c r="L754" s="2">
        <f t="shared" si="71"/>
        <v>864.86761992804429</v>
      </c>
    </row>
    <row r="755" spans="1:12" x14ac:dyDescent="0.25">
      <c r="A755">
        <v>753</v>
      </c>
      <c r="B755" s="1">
        <v>1504</v>
      </c>
      <c r="C755" s="1">
        <v>1727.4073057620199</v>
      </c>
      <c r="D755">
        <f t="shared" si="67"/>
        <v>-863.70365288100993</v>
      </c>
      <c r="E755">
        <f t="shared" si="68"/>
        <v>863.70365288100993</v>
      </c>
      <c r="F755" s="7">
        <f t="shared" si="72"/>
        <v>2534273.7596845916</v>
      </c>
      <c r="G755" s="2">
        <f t="shared" si="69"/>
        <v>1504</v>
      </c>
      <c r="J755" s="2">
        <v>1727.4073057620199</v>
      </c>
      <c r="K755" s="2">
        <f t="shared" si="70"/>
        <v>-863.70365288100993</v>
      </c>
      <c r="L755" s="2">
        <f t="shared" si="71"/>
        <v>863.70365288100993</v>
      </c>
    </row>
    <row r="756" spans="1:12" x14ac:dyDescent="0.25">
      <c r="A756">
        <v>754</v>
      </c>
      <c r="B756" s="1">
        <v>1506</v>
      </c>
      <c r="C756" s="1">
        <v>1725.0669552223183</v>
      </c>
      <c r="D756">
        <f t="shared" si="67"/>
        <v>-862.53347761115913</v>
      </c>
      <c r="E756">
        <f t="shared" si="68"/>
        <v>862.53347761115913</v>
      </c>
      <c r="F756" s="7">
        <f t="shared" si="72"/>
        <v>2537726.233945576</v>
      </c>
      <c r="G756" s="2">
        <f t="shared" si="69"/>
        <v>1506</v>
      </c>
      <c r="J756" s="2">
        <v>1725.0669552223183</v>
      </c>
      <c r="K756" s="2">
        <f t="shared" si="70"/>
        <v>-862.53347761115913</v>
      </c>
      <c r="L756" s="2">
        <f t="shared" si="71"/>
        <v>862.53347761115913</v>
      </c>
    </row>
    <row r="757" spans="1:12" x14ac:dyDescent="0.25">
      <c r="A757">
        <v>755</v>
      </c>
      <c r="B757" s="1">
        <v>1508</v>
      </c>
      <c r="C757" s="1">
        <v>1722.7141376328227</v>
      </c>
      <c r="D757">
        <f t="shared" si="67"/>
        <v>-861.35706881641136</v>
      </c>
      <c r="E757">
        <f t="shared" si="68"/>
        <v>861.35706881641136</v>
      </c>
      <c r="F757" s="7">
        <f t="shared" si="72"/>
        <v>2541174.0150384312</v>
      </c>
      <c r="G757" s="2">
        <f t="shared" si="69"/>
        <v>1508</v>
      </c>
      <c r="J757" s="2">
        <v>1722.7141376328227</v>
      </c>
      <c r="K757" s="2">
        <f t="shared" si="70"/>
        <v>-861.35706881641136</v>
      </c>
      <c r="L757" s="2">
        <f t="shared" si="71"/>
        <v>861.35706881641136</v>
      </c>
    </row>
    <row r="758" spans="1:12" x14ac:dyDescent="0.25">
      <c r="A758">
        <v>756</v>
      </c>
      <c r="B758" s="1">
        <v>1510</v>
      </c>
      <c r="C758" s="1">
        <v>1720.3488018422311</v>
      </c>
      <c r="D758">
        <f t="shared" si="67"/>
        <v>-860.17440092111553</v>
      </c>
      <c r="E758">
        <f t="shared" si="68"/>
        <v>860.17440092111553</v>
      </c>
      <c r="F758" s="7">
        <f t="shared" si="72"/>
        <v>2544617.077977906</v>
      </c>
      <c r="G758" s="2">
        <f t="shared" si="69"/>
        <v>1510</v>
      </c>
      <c r="J758" s="2">
        <v>1720.3488018422311</v>
      </c>
      <c r="K758" s="2">
        <f t="shared" si="70"/>
        <v>-860.17440092111553</v>
      </c>
      <c r="L758" s="2">
        <f t="shared" si="71"/>
        <v>860.17440092111553</v>
      </c>
    </row>
    <row r="759" spans="1:12" x14ac:dyDescent="0.25">
      <c r="A759">
        <v>757</v>
      </c>
      <c r="B759" s="1">
        <v>1512</v>
      </c>
      <c r="C759" s="1">
        <v>1717.9708961446349</v>
      </c>
      <c r="D759">
        <f t="shared" si="67"/>
        <v>-858.98544807231747</v>
      </c>
      <c r="E759">
        <f t="shared" si="68"/>
        <v>858.98544807231747</v>
      </c>
      <c r="F759" s="7">
        <f t="shared" si="72"/>
        <v>2548055.3976758928</v>
      </c>
      <c r="G759" s="2">
        <f t="shared" si="69"/>
        <v>1512</v>
      </c>
      <c r="J759" s="2">
        <v>1717.9708961446349</v>
      </c>
      <c r="K759" s="2">
        <f t="shared" si="70"/>
        <v>-858.98544807231747</v>
      </c>
      <c r="L759" s="2">
        <f t="shared" si="71"/>
        <v>858.98544807231747</v>
      </c>
    </row>
    <row r="760" spans="1:12" x14ac:dyDescent="0.25">
      <c r="A760">
        <v>758</v>
      </c>
      <c r="B760" s="1">
        <v>1514</v>
      </c>
      <c r="C760" s="1">
        <v>1715.5803682719152</v>
      </c>
      <c r="D760">
        <f t="shared" si="67"/>
        <v>-857.79018413595759</v>
      </c>
      <c r="E760">
        <f t="shared" si="68"/>
        <v>857.79018413595759</v>
      </c>
      <c r="F760" s="7">
        <f t="shared" si="72"/>
        <v>2551488.9489403092</v>
      </c>
      <c r="G760" s="2">
        <f t="shared" si="69"/>
        <v>1514</v>
      </c>
      <c r="J760" s="2">
        <v>1715.5803682719152</v>
      </c>
      <c r="K760" s="2">
        <f t="shared" si="70"/>
        <v>-857.79018413595759</v>
      </c>
      <c r="L760" s="2">
        <f t="shared" si="71"/>
        <v>857.79018413595759</v>
      </c>
    </row>
    <row r="761" spans="1:12" x14ac:dyDescent="0.25">
      <c r="A761">
        <v>759</v>
      </c>
      <c r="B761" s="1">
        <v>1516</v>
      </c>
      <c r="C761" s="1">
        <v>1713.1771653859971</v>
      </c>
      <c r="D761">
        <f t="shared" si="67"/>
        <v>-856.58858269299856</v>
      </c>
      <c r="E761">
        <f t="shared" si="68"/>
        <v>856.58858269299856</v>
      </c>
      <c r="F761" s="7">
        <f t="shared" si="72"/>
        <v>2554917.7064739671</v>
      </c>
      <c r="G761" s="2">
        <f t="shared" si="69"/>
        <v>1516</v>
      </c>
      <c r="J761" s="2">
        <v>1713.1771653859971</v>
      </c>
      <c r="K761" s="2">
        <f t="shared" si="70"/>
        <v>-856.58858269299856</v>
      </c>
      <c r="L761" s="2">
        <f t="shared" si="71"/>
        <v>856.58858269299856</v>
      </c>
    </row>
    <row r="762" spans="1:12" x14ac:dyDescent="0.25">
      <c r="A762">
        <v>760</v>
      </c>
      <c r="B762" s="1">
        <v>1518</v>
      </c>
      <c r="C762" s="1">
        <v>1710.7612340709618</v>
      </c>
      <c r="D762">
        <f t="shared" si="67"/>
        <v>-855.3806170354809</v>
      </c>
      <c r="E762">
        <f t="shared" si="68"/>
        <v>855.3806170354809</v>
      </c>
      <c r="F762" s="7">
        <f t="shared" si="72"/>
        <v>2558341.644873424</v>
      </c>
      <c r="G762" s="2">
        <f t="shared" si="69"/>
        <v>1518</v>
      </c>
      <c r="J762" s="2">
        <v>1710.7612340709618</v>
      </c>
      <c r="K762" s="2">
        <f t="shared" si="70"/>
        <v>-855.3806170354809</v>
      </c>
      <c r="L762" s="2">
        <f t="shared" si="71"/>
        <v>855.3806170354809</v>
      </c>
    </row>
    <row r="763" spans="1:12" x14ac:dyDescent="0.25">
      <c r="A763">
        <v>761</v>
      </c>
      <c r="B763" s="1">
        <v>1520</v>
      </c>
      <c r="C763" s="1">
        <v>1708.3325203250097</v>
      </c>
      <c r="D763">
        <f t="shared" si="67"/>
        <v>-854.16626016250484</v>
      </c>
      <c r="E763">
        <f t="shared" si="68"/>
        <v>854.16626016250484</v>
      </c>
      <c r="F763" s="7">
        <f t="shared" si="72"/>
        <v>2561760.7386278198</v>
      </c>
      <c r="G763" s="2">
        <f t="shared" si="69"/>
        <v>1520</v>
      </c>
      <c r="J763" s="2">
        <v>1708.3325203250097</v>
      </c>
      <c r="K763" s="2">
        <f t="shared" si="70"/>
        <v>-854.16626016250484</v>
      </c>
      <c r="L763" s="2">
        <f t="shared" si="71"/>
        <v>854.16626016250484</v>
      </c>
    </row>
    <row r="764" spans="1:12" x14ac:dyDescent="0.25">
      <c r="A764">
        <v>762</v>
      </c>
      <c r="B764" s="1">
        <v>1522</v>
      </c>
      <c r="C764" s="1">
        <v>1705.8909695522748</v>
      </c>
      <c r="D764">
        <f t="shared" si="67"/>
        <v>-852.94548477613739</v>
      </c>
      <c r="E764">
        <f t="shared" si="68"/>
        <v>852.94548477613739</v>
      </c>
      <c r="F764" s="7">
        <f t="shared" si="72"/>
        <v>2565174.9621176971</v>
      </c>
      <c r="G764" s="2">
        <f t="shared" si="69"/>
        <v>1522</v>
      </c>
      <c r="J764" s="2">
        <v>1705.8909695522748</v>
      </c>
      <c r="K764" s="2">
        <f t="shared" si="70"/>
        <v>-852.94548477613739</v>
      </c>
      <c r="L764" s="2">
        <f t="shared" si="71"/>
        <v>852.94548477613739</v>
      </c>
    </row>
    <row r="765" spans="1:12" x14ac:dyDescent="0.25">
      <c r="A765">
        <v>763</v>
      </c>
      <c r="B765" s="1">
        <v>1524</v>
      </c>
      <c r="C765" s="1">
        <v>1703.4365265544825</v>
      </c>
      <c r="D765">
        <f t="shared" si="67"/>
        <v>-851.71826327724125</v>
      </c>
      <c r="E765">
        <f t="shared" si="68"/>
        <v>851.71826327724125</v>
      </c>
      <c r="F765" s="7">
        <f t="shared" si="72"/>
        <v>2568584.2896138038</v>
      </c>
      <c r="G765" s="2">
        <f t="shared" si="69"/>
        <v>1524</v>
      </c>
      <c r="J765" s="2">
        <v>1703.4365265544825</v>
      </c>
      <c r="K765" s="2">
        <f t="shared" si="70"/>
        <v>-851.71826327724125</v>
      </c>
      <c r="L765" s="2">
        <f t="shared" si="71"/>
        <v>851.71826327724125</v>
      </c>
    </row>
    <row r="766" spans="1:12" x14ac:dyDescent="0.25">
      <c r="A766">
        <v>764</v>
      </c>
      <c r="B766" s="1">
        <v>1526</v>
      </c>
      <c r="C766" s="1">
        <v>1700.9691355224527</v>
      </c>
      <c r="D766">
        <f t="shared" si="67"/>
        <v>-850.48456776122634</v>
      </c>
      <c r="E766">
        <f t="shared" si="68"/>
        <v>850.48456776122634</v>
      </c>
      <c r="F766" s="7">
        <f t="shared" si="72"/>
        <v>2571988.6952758809</v>
      </c>
      <c r="G766" s="2">
        <f t="shared" si="69"/>
        <v>1526</v>
      </c>
      <c r="J766" s="2">
        <v>1700.9691355224527</v>
      </c>
      <c r="K766" s="2">
        <f t="shared" si="70"/>
        <v>-850.48456776122634</v>
      </c>
      <c r="L766" s="2">
        <f t="shared" si="71"/>
        <v>850.48456776122634</v>
      </c>
    </row>
    <row r="767" spans="1:12" x14ac:dyDescent="0.25">
      <c r="A767">
        <v>765</v>
      </c>
      <c r="B767" s="1">
        <v>1528</v>
      </c>
      <c r="C767" s="1">
        <v>1698.4887400274399</v>
      </c>
      <c r="D767">
        <f t="shared" si="67"/>
        <v>-849.24437001371996</v>
      </c>
      <c r="E767">
        <f t="shared" si="68"/>
        <v>849.24437001371996</v>
      </c>
      <c r="F767" s="7">
        <f t="shared" si="72"/>
        <v>2575388.1531514307</v>
      </c>
      <c r="G767" s="2">
        <f t="shared" si="69"/>
        <v>1528</v>
      </c>
      <c r="J767" s="2">
        <v>1698.4887400274399</v>
      </c>
      <c r="K767" s="2">
        <f t="shared" si="70"/>
        <v>-849.24437001371996</v>
      </c>
      <c r="L767" s="2">
        <f t="shared" si="71"/>
        <v>849.24437001371996</v>
      </c>
    </row>
    <row r="768" spans="1:12" x14ac:dyDescent="0.25">
      <c r="A768">
        <v>766</v>
      </c>
      <c r="B768" s="1">
        <v>1530</v>
      </c>
      <c r="C768" s="1">
        <v>1695.9952830123084</v>
      </c>
      <c r="D768">
        <f t="shared" si="67"/>
        <v>-847.9976415061542</v>
      </c>
      <c r="E768">
        <f t="shared" si="68"/>
        <v>847.9976415061542</v>
      </c>
      <c r="F768" s="7">
        <f t="shared" si="72"/>
        <v>2578782.6371744704</v>
      </c>
      <c r="G768" s="2">
        <f t="shared" si="69"/>
        <v>1530</v>
      </c>
      <c r="J768" s="2">
        <v>1695.9952830123084</v>
      </c>
      <c r="K768" s="2">
        <f t="shared" si="70"/>
        <v>-847.9976415061542</v>
      </c>
      <c r="L768" s="2">
        <f t="shared" si="71"/>
        <v>847.9976415061542</v>
      </c>
    </row>
    <row r="769" spans="1:12" x14ac:dyDescent="0.25">
      <c r="A769">
        <v>767</v>
      </c>
      <c r="B769" s="1">
        <v>1532</v>
      </c>
      <c r="C769" s="1">
        <v>1693.48870678254</v>
      </c>
      <c r="D769">
        <f t="shared" si="67"/>
        <v>-846.74435339127001</v>
      </c>
      <c r="E769">
        <f t="shared" si="68"/>
        <v>846.74435339127001</v>
      </c>
      <c r="F769" s="7">
        <f t="shared" si="72"/>
        <v>2582172.1211642651</v>
      </c>
      <c r="G769" s="2">
        <f t="shared" si="69"/>
        <v>1532</v>
      </c>
      <c r="J769" s="2">
        <v>1693.48870678254</v>
      </c>
      <c r="K769" s="2">
        <f t="shared" si="70"/>
        <v>-846.74435339127001</v>
      </c>
      <c r="L769" s="2">
        <f t="shared" si="71"/>
        <v>846.74435339127001</v>
      </c>
    </row>
    <row r="770" spans="1:12" x14ac:dyDescent="0.25">
      <c r="A770">
        <v>768</v>
      </c>
      <c r="B770" s="1">
        <v>1534</v>
      </c>
      <c r="C770" s="1">
        <v>1690.9689529970678</v>
      </c>
      <c r="D770">
        <f t="shared" si="67"/>
        <v>-845.48447649853392</v>
      </c>
      <c r="E770">
        <f t="shared" si="68"/>
        <v>845.48447649853392</v>
      </c>
      <c r="F770" s="7">
        <f t="shared" si="72"/>
        <v>2585556.5788240447</v>
      </c>
      <c r="G770" s="2">
        <f t="shared" si="69"/>
        <v>1534</v>
      </c>
      <c r="J770" s="2">
        <v>1690.9689529970678</v>
      </c>
      <c r="K770" s="2">
        <f t="shared" si="70"/>
        <v>-845.48447649853392</v>
      </c>
      <c r="L770" s="2">
        <f t="shared" si="71"/>
        <v>845.48447649853392</v>
      </c>
    </row>
    <row r="771" spans="1:12" x14ac:dyDescent="0.25">
      <c r="A771">
        <v>769</v>
      </c>
      <c r="B771" s="1">
        <v>1536</v>
      </c>
      <c r="C771" s="1">
        <v>1688.4359626589337</v>
      </c>
      <c r="D771">
        <f t="shared" si="67"/>
        <v>-844.21798132946685</v>
      </c>
      <c r="E771">
        <f t="shared" si="68"/>
        <v>844.21798132946685</v>
      </c>
      <c r="F771" s="7">
        <f t="shared" si="72"/>
        <v>2588935.9837397006</v>
      </c>
      <c r="G771" s="2">
        <f t="shared" si="69"/>
        <v>1536</v>
      </c>
      <c r="J771" s="2">
        <v>1688.4359626589337</v>
      </c>
      <c r="K771" s="2">
        <f t="shared" si="70"/>
        <v>-844.21798132946685</v>
      </c>
      <c r="L771" s="2">
        <f t="shared" si="71"/>
        <v>844.21798132946685</v>
      </c>
    </row>
    <row r="772" spans="1:12" x14ac:dyDescent="0.25">
      <c r="A772">
        <v>770</v>
      </c>
      <c r="B772" s="1">
        <v>1538</v>
      </c>
      <c r="C772" s="1">
        <v>1685.8896761057647</v>
      </c>
      <c r="D772">
        <f t="shared" ref="D772:D835" si="73">IF(A772&lt;=COUNT(B:B),-1*C772/2,NA())</f>
        <v>-842.94483805288235</v>
      </c>
      <c r="E772">
        <f t="shared" ref="E772:E835" si="74">IF(A772&lt;=COUNT(B:B),C772/2,NA())</f>
        <v>842.94483805288235</v>
      </c>
      <c r="F772" s="7">
        <f t="shared" si="72"/>
        <v>2592310.3093784652</v>
      </c>
      <c r="G772" s="2">
        <f t="shared" ref="G772:G835" si="75">B772-$B$3</f>
        <v>1538</v>
      </c>
      <c r="J772" s="2">
        <v>1685.8896761057647</v>
      </c>
      <c r="K772" s="2">
        <f t="shared" ref="K772:K835" si="76">IF(A772&lt;=COUNT(B:B),$J772/2*-1,NA())</f>
        <v>-842.94483805288235</v>
      </c>
      <c r="L772" s="2">
        <f t="shared" ref="L772:L835" si="77">IF(A772&lt;=COUNT(B:B),$J772/2,NA())</f>
        <v>842.94483805288235</v>
      </c>
    </row>
    <row r="773" spans="1:12" x14ac:dyDescent="0.25">
      <c r="A773">
        <v>771</v>
      </c>
      <c r="B773" s="1">
        <v>1540</v>
      </c>
      <c r="C773" s="1">
        <v>1683.330033000065</v>
      </c>
      <c r="D773">
        <f t="shared" si="73"/>
        <v>-841.66501650003249</v>
      </c>
      <c r="E773">
        <f t="shared" si="74"/>
        <v>841.66501650003249</v>
      </c>
      <c r="F773" s="7">
        <f t="shared" ref="F773:F836" si="78">IF(A772&lt;COUNT(B:B),(($C773+$C772)*(B773-B772)/2)+F772,"")</f>
        <v>2595679.529087571</v>
      </c>
      <c r="G773" s="2">
        <f t="shared" si="75"/>
        <v>1540</v>
      </c>
      <c r="J773" s="2">
        <v>1683.330033000065</v>
      </c>
      <c r="K773" s="2">
        <f t="shared" si="76"/>
        <v>-841.66501650003249</v>
      </c>
      <c r="L773" s="2">
        <f t="shared" si="77"/>
        <v>841.66501650003249</v>
      </c>
    </row>
    <row r="774" spans="1:12" x14ac:dyDescent="0.25">
      <c r="A774">
        <v>772</v>
      </c>
      <c r="B774" s="1">
        <v>1542</v>
      </c>
      <c r="C774" s="1">
        <v>1680.7569723193178</v>
      </c>
      <c r="D774">
        <f t="shared" si="73"/>
        <v>-840.37848615965891</v>
      </c>
      <c r="E774">
        <f t="shared" si="74"/>
        <v>840.37848615965891</v>
      </c>
      <c r="F774" s="7">
        <f t="shared" si="78"/>
        <v>2599043.6160928905</v>
      </c>
      <c r="G774" s="2">
        <f t="shared" si="75"/>
        <v>1542</v>
      </c>
      <c r="J774" s="2">
        <v>1680.7569723193178</v>
      </c>
      <c r="K774" s="2">
        <f t="shared" si="76"/>
        <v>-840.37848615965891</v>
      </c>
      <c r="L774" s="2">
        <f t="shared" si="77"/>
        <v>840.37848615965891</v>
      </c>
    </row>
    <row r="775" spans="1:12" x14ac:dyDescent="0.25">
      <c r="A775">
        <v>773</v>
      </c>
      <c r="B775" s="1">
        <v>1544</v>
      </c>
      <c r="C775" s="1">
        <v>1678.1704323458926</v>
      </c>
      <c r="D775">
        <f t="shared" si="73"/>
        <v>-839.08521617294628</v>
      </c>
      <c r="E775">
        <f t="shared" si="74"/>
        <v>839.08521617294628</v>
      </c>
      <c r="F775" s="7">
        <f t="shared" si="78"/>
        <v>2602402.5434975559</v>
      </c>
      <c r="G775" s="2">
        <f t="shared" si="75"/>
        <v>1544</v>
      </c>
      <c r="J775" s="2">
        <v>1678.1704323458926</v>
      </c>
      <c r="K775" s="2">
        <f t="shared" si="76"/>
        <v>-839.08521617294628</v>
      </c>
      <c r="L775" s="2">
        <f t="shared" si="77"/>
        <v>839.08521617294628</v>
      </c>
    </row>
    <row r="776" spans="1:12" x14ac:dyDescent="0.25">
      <c r="A776">
        <v>774</v>
      </c>
      <c r="B776" s="1">
        <v>1546</v>
      </c>
      <c r="C776" s="1">
        <v>1675.5703506567547</v>
      </c>
      <c r="D776">
        <f t="shared" si="73"/>
        <v>-837.78517532837736</v>
      </c>
      <c r="E776">
        <f t="shared" si="74"/>
        <v>837.78517532837736</v>
      </c>
      <c r="F776" s="7">
        <f t="shared" si="78"/>
        <v>2605756.2842805586</v>
      </c>
      <c r="G776" s="2">
        <f t="shared" si="75"/>
        <v>1546</v>
      </c>
      <c r="J776" s="2">
        <v>1675.5703506567547</v>
      </c>
      <c r="K776" s="2">
        <f t="shared" si="76"/>
        <v>-837.78517532837736</v>
      </c>
      <c r="L776" s="2">
        <f t="shared" si="77"/>
        <v>837.78517532837736</v>
      </c>
    </row>
    <row r="777" spans="1:12" x14ac:dyDescent="0.25">
      <c r="A777">
        <v>775</v>
      </c>
      <c r="B777" s="1">
        <v>1548</v>
      </c>
      <c r="C777" s="1">
        <v>1672.9566641129709</v>
      </c>
      <c r="D777">
        <f t="shared" si="73"/>
        <v>-836.47833205648544</v>
      </c>
      <c r="E777">
        <f t="shared" si="74"/>
        <v>836.47833205648544</v>
      </c>
      <c r="F777" s="7">
        <f t="shared" si="78"/>
        <v>2609104.8112953282</v>
      </c>
      <c r="G777" s="2">
        <f t="shared" si="75"/>
        <v>1548</v>
      </c>
      <c r="J777" s="2">
        <v>1672.9566641129709</v>
      </c>
      <c r="K777" s="2">
        <f t="shared" si="76"/>
        <v>-836.47833205648544</v>
      </c>
      <c r="L777" s="2">
        <f t="shared" si="77"/>
        <v>836.47833205648544</v>
      </c>
    </row>
    <row r="778" spans="1:12" x14ac:dyDescent="0.25">
      <c r="A778">
        <v>776</v>
      </c>
      <c r="B778" s="1">
        <v>1550</v>
      </c>
      <c r="C778" s="1">
        <v>1670.3293088490066</v>
      </c>
      <c r="D778">
        <f t="shared" si="73"/>
        <v>-835.16465442450328</v>
      </c>
      <c r="E778">
        <f t="shared" si="74"/>
        <v>835.16465442450328</v>
      </c>
      <c r="F778" s="7">
        <f t="shared" si="78"/>
        <v>2612448.0972682904</v>
      </c>
      <c r="G778" s="2">
        <f t="shared" si="75"/>
        <v>1550</v>
      </c>
      <c r="J778" s="2">
        <v>1670.3293088490066</v>
      </c>
      <c r="K778" s="2">
        <f t="shared" si="76"/>
        <v>-835.16465442450328</v>
      </c>
      <c r="L778" s="2">
        <f t="shared" si="77"/>
        <v>835.16465442450328</v>
      </c>
    </row>
    <row r="779" spans="1:12" x14ac:dyDescent="0.25">
      <c r="A779">
        <v>777</v>
      </c>
      <c r="B779" s="1">
        <v>1552</v>
      </c>
      <c r="C779" s="1">
        <v>1667.688220261809</v>
      </c>
      <c r="D779">
        <f t="shared" si="73"/>
        <v>-833.84411013090448</v>
      </c>
      <c r="E779">
        <f t="shared" si="74"/>
        <v>833.84411013090448</v>
      </c>
      <c r="F779" s="7">
        <f t="shared" si="78"/>
        <v>2615786.1147974012</v>
      </c>
      <c r="G779" s="2">
        <f t="shared" si="75"/>
        <v>1552</v>
      </c>
      <c r="J779" s="2">
        <v>1667.688220261809</v>
      </c>
      <c r="K779" s="2">
        <f t="shared" si="76"/>
        <v>-833.84411013090448</v>
      </c>
      <c r="L779" s="2">
        <f t="shared" si="77"/>
        <v>833.84411013090448</v>
      </c>
    </row>
    <row r="780" spans="1:12" x14ac:dyDescent="0.25">
      <c r="A780">
        <v>778</v>
      </c>
      <c r="B780" s="1">
        <v>1554</v>
      </c>
      <c r="C780" s="1">
        <v>1665.0333329996731</v>
      </c>
      <c r="D780">
        <f t="shared" si="73"/>
        <v>-832.51666649983656</v>
      </c>
      <c r="E780">
        <f t="shared" si="74"/>
        <v>832.51666649983656</v>
      </c>
      <c r="F780" s="7">
        <f t="shared" si="78"/>
        <v>2619118.8363506626</v>
      </c>
      <c r="G780" s="2">
        <f t="shared" si="75"/>
        <v>1554</v>
      </c>
      <c r="J780" s="2">
        <v>1665.0333329996731</v>
      </c>
      <c r="K780" s="2">
        <f t="shared" si="76"/>
        <v>-832.51666649983656</v>
      </c>
      <c r="L780" s="2">
        <f t="shared" si="77"/>
        <v>832.51666649983656</v>
      </c>
    </row>
    <row r="781" spans="1:12" x14ac:dyDescent="0.25">
      <c r="A781">
        <v>779</v>
      </c>
      <c r="B781" s="1">
        <v>1556</v>
      </c>
      <c r="C781" s="1">
        <v>1662.3645809508816</v>
      </c>
      <c r="D781">
        <f t="shared" si="73"/>
        <v>-831.18229047544082</v>
      </c>
      <c r="E781">
        <f t="shared" si="74"/>
        <v>831.18229047544082</v>
      </c>
      <c r="F781" s="7">
        <f t="shared" si="78"/>
        <v>2622446.2342646131</v>
      </c>
      <c r="G781" s="2">
        <f t="shared" si="75"/>
        <v>1556</v>
      </c>
      <c r="J781" s="2">
        <v>1662.3645809508816</v>
      </c>
      <c r="K781" s="2">
        <f t="shared" si="76"/>
        <v>-831.18229047544082</v>
      </c>
      <c r="L781" s="2">
        <f t="shared" si="77"/>
        <v>831.18229047544082</v>
      </c>
    </row>
    <row r="782" spans="1:12" x14ac:dyDescent="0.25">
      <c r="A782">
        <v>780</v>
      </c>
      <c r="B782" s="1">
        <v>1558</v>
      </c>
      <c r="C782" s="1">
        <v>1659.6818972321171</v>
      </c>
      <c r="D782">
        <f t="shared" si="73"/>
        <v>-829.84094861605854</v>
      </c>
      <c r="E782">
        <f t="shared" si="74"/>
        <v>829.84094861605854</v>
      </c>
      <c r="F782" s="7">
        <f t="shared" si="78"/>
        <v>2625768.2807427961</v>
      </c>
      <c r="G782" s="2">
        <f t="shared" si="75"/>
        <v>1558</v>
      </c>
      <c r="J782" s="2">
        <v>1659.6818972321171</v>
      </c>
      <c r="K782" s="2">
        <f t="shared" si="76"/>
        <v>-829.84094861605854</v>
      </c>
      <c r="L782" s="2">
        <f t="shared" si="77"/>
        <v>829.84094861605854</v>
      </c>
    </row>
    <row r="783" spans="1:12" x14ac:dyDescent="0.25">
      <c r="A783">
        <v>781</v>
      </c>
      <c r="B783" s="1">
        <v>1560</v>
      </c>
      <c r="C783" s="1">
        <v>1656.9852141766382</v>
      </c>
      <c r="D783">
        <f t="shared" si="73"/>
        <v>-828.49260708831912</v>
      </c>
      <c r="E783">
        <f t="shared" si="74"/>
        <v>828.49260708831912</v>
      </c>
      <c r="F783" s="7">
        <f t="shared" si="78"/>
        <v>2629084.947854205</v>
      </c>
      <c r="G783" s="2">
        <f t="shared" si="75"/>
        <v>1560</v>
      </c>
      <c r="J783" s="2">
        <v>1656.9852141766382</v>
      </c>
      <c r="K783" s="2">
        <f t="shared" si="76"/>
        <v>-828.49260708831912</v>
      </c>
      <c r="L783" s="2">
        <f t="shared" si="77"/>
        <v>828.49260708831912</v>
      </c>
    </row>
    <row r="784" spans="1:12" x14ac:dyDescent="0.25">
      <c r="A784">
        <v>782</v>
      </c>
      <c r="B784" s="1">
        <v>1562</v>
      </c>
      <c r="C784" s="1">
        <v>1654.2744633222142</v>
      </c>
      <c r="D784">
        <f t="shared" si="73"/>
        <v>-827.13723166110708</v>
      </c>
      <c r="E784">
        <f t="shared" si="74"/>
        <v>827.13723166110708</v>
      </c>
      <c r="F784" s="7">
        <f t="shared" si="78"/>
        <v>2632396.2075317041</v>
      </c>
      <c r="G784" s="2">
        <f t="shared" si="75"/>
        <v>1562</v>
      </c>
      <c r="J784" s="2">
        <v>1654.2744633222142</v>
      </c>
      <c r="K784" s="2">
        <f t="shared" si="76"/>
        <v>-827.13723166110708</v>
      </c>
      <c r="L784" s="2">
        <f t="shared" si="77"/>
        <v>827.13723166110708</v>
      </c>
    </row>
    <row r="785" spans="1:12" x14ac:dyDescent="0.25">
      <c r="A785">
        <v>783</v>
      </c>
      <c r="B785" s="1">
        <v>1564</v>
      </c>
      <c r="C785" s="1">
        <v>1651.5495753988132</v>
      </c>
      <c r="D785">
        <f t="shared" si="73"/>
        <v>-825.7747876994066</v>
      </c>
      <c r="E785">
        <f t="shared" si="74"/>
        <v>825.7747876994066</v>
      </c>
      <c r="F785" s="7">
        <f t="shared" si="78"/>
        <v>2635702.0315704253</v>
      </c>
      <c r="G785" s="2">
        <f t="shared" si="75"/>
        <v>1564</v>
      </c>
      <c r="J785" s="2">
        <v>1651.5495753988132</v>
      </c>
      <c r="K785" s="2">
        <f t="shared" si="76"/>
        <v>-825.7747876994066</v>
      </c>
      <c r="L785" s="2">
        <f t="shared" si="77"/>
        <v>825.7747876994066</v>
      </c>
    </row>
    <row r="786" spans="1:12" x14ac:dyDescent="0.25">
      <c r="A786">
        <v>784</v>
      </c>
      <c r="B786" s="1">
        <v>1566</v>
      </c>
      <c r="C786" s="1">
        <v>1648.8104803160368</v>
      </c>
      <c r="D786">
        <f t="shared" si="73"/>
        <v>-824.40524015801839</v>
      </c>
      <c r="E786">
        <f t="shared" si="74"/>
        <v>824.40524015801839</v>
      </c>
      <c r="F786" s="7">
        <f t="shared" si="78"/>
        <v>2639002.3916261401</v>
      </c>
      <c r="G786" s="2">
        <f t="shared" si="75"/>
        <v>1566</v>
      </c>
      <c r="J786" s="2">
        <v>1648.8104803160368</v>
      </c>
      <c r="K786" s="2">
        <f t="shared" si="76"/>
        <v>-824.40524015801839</v>
      </c>
      <c r="L786" s="2">
        <f t="shared" si="77"/>
        <v>824.40524015801839</v>
      </c>
    </row>
    <row r="787" spans="1:12" x14ac:dyDescent="0.25">
      <c r="A787">
        <v>785</v>
      </c>
      <c r="B787" s="1">
        <v>1568</v>
      </c>
      <c r="C787" s="1">
        <v>1646.0571071502957</v>
      </c>
      <c r="D787">
        <f t="shared" si="73"/>
        <v>-823.02855357514784</v>
      </c>
      <c r="E787">
        <f t="shared" si="74"/>
        <v>823.02855357514784</v>
      </c>
      <c r="F787" s="7">
        <f t="shared" si="78"/>
        <v>2642297.2592136064</v>
      </c>
      <c r="G787" s="2">
        <f t="shared" si="75"/>
        <v>1568</v>
      </c>
      <c r="J787" s="2">
        <v>1646.0571071502957</v>
      </c>
      <c r="K787" s="2">
        <f t="shared" si="76"/>
        <v>-823.02855357514784</v>
      </c>
      <c r="L787" s="2">
        <f t="shared" si="77"/>
        <v>823.02855357514784</v>
      </c>
    </row>
    <row r="788" spans="1:12" x14ac:dyDescent="0.25">
      <c r="A788">
        <v>786</v>
      </c>
      <c r="B788" s="1">
        <v>1570</v>
      </c>
      <c r="C788" s="1">
        <v>1643.2893841317177</v>
      </c>
      <c r="D788">
        <f t="shared" si="73"/>
        <v>-821.64469206585886</v>
      </c>
      <c r="E788">
        <f t="shared" si="74"/>
        <v>821.64469206585886</v>
      </c>
      <c r="F788" s="7">
        <f t="shared" si="78"/>
        <v>2645586.6057048882</v>
      </c>
      <c r="G788" s="2">
        <f t="shared" si="75"/>
        <v>1570</v>
      </c>
      <c r="J788" s="2">
        <v>1643.2893841317177</v>
      </c>
      <c r="K788" s="2">
        <f t="shared" si="76"/>
        <v>-821.64469206585886</v>
      </c>
      <c r="L788" s="2">
        <f t="shared" si="77"/>
        <v>821.64469206585886</v>
      </c>
    </row>
    <row r="789" spans="1:12" x14ac:dyDescent="0.25">
      <c r="A789">
        <v>787</v>
      </c>
      <c r="B789" s="1">
        <v>1572</v>
      </c>
      <c r="C789" s="1">
        <v>1640.5072386307841</v>
      </c>
      <c r="D789">
        <f t="shared" si="73"/>
        <v>-820.25361931539203</v>
      </c>
      <c r="E789">
        <f t="shared" si="74"/>
        <v>820.25361931539203</v>
      </c>
      <c r="F789" s="7">
        <f t="shared" si="78"/>
        <v>2648870.4023276507</v>
      </c>
      <c r="G789" s="2">
        <f t="shared" si="75"/>
        <v>1572</v>
      </c>
      <c r="J789" s="2">
        <v>1640.5072386307841</v>
      </c>
      <c r="K789" s="2">
        <f t="shared" si="76"/>
        <v>-820.25361931539203</v>
      </c>
      <c r="L789" s="2">
        <f t="shared" si="77"/>
        <v>820.25361931539203</v>
      </c>
    </row>
    <row r="790" spans="1:12" x14ac:dyDescent="0.25">
      <c r="A790">
        <v>788</v>
      </c>
      <c r="B790" s="1">
        <v>1574</v>
      </c>
      <c r="C790" s="1">
        <v>1637.7105971446847</v>
      </c>
      <c r="D790">
        <f t="shared" si="73"/>
        <v>-818.85529857234235</v>
      </c>
      <c r="E790">
        <f t="shared" si="74"/>
        <v>818.85529857234235</v>
      </c>
      <c r="F790" s="7">
        <f t="shared" si="78"/>
        <v>2652148.6201634263</v>
      </c>
      <c r="G790" s="2">
        <f t="shared" si="75"/>
        <v>1574</v>
      </c>
      <c r="J790" s="2">
        <v>1637.7105971446847</v>
      </c>
      <c r="K790" s="2">
        <f t="shared" si="76"/>
        <v>-818.85529857234235</v>
      </c>
      <c r="L790" s="2">
        <f t="shared" si="77"/>
        <v>818.85529857234235</v>
      </c>
    </row>
    <row r="791" spans="1:12" x14ac:dyDescent="0.25">
      <c r="A791">
        <v>789</v>
      </c>
      <c r="B791" s="1">
        <v>1576</v>
      </c>
      <c r="C791" s="1">
        <v>1634.899385283388</v>
      </c>
      <c r="D791">
        <f t="shared" si="73"/>
        <v>-817.44969264169401</v>
      </c>
      <c r="E791">
        <f t="shared" si="74"/>
        <v>817.44969264169401</v>
      </c>
      <c r="F791" s="7">
        <f t="shared" si="78"/>
        <v>2655421.2301458544</v>
      </c>
      <c r="G791" s="2">
        <f t="shared" si="75"/>
        <v>1576</v>
      </c>
      <c r="J791" s="2">
        <v>1634.899385283388</v>
      </c>
      <c r="K791" s="2">
        <f t="shared" si="76"/>
        <v>-817.44969264169401</v>
      </c>
      <c r="L791" s="2">
        <f t="shared" si="77"/>
        <v>817.44969264169401</v>
      </c>
    </row>
    <row r="792" spans="1:12" x14ac:dyDescent="0.25">
      <c r="A792">
        <v>790</v>
      </c>
      <c r="B792" s="1">
        <v>1578</v>
      </c>
      <c r="C792" s="1">
        <v>1632.0735277554134</v>
      </c>
      <c r="D792">
        <f t="shared" si="73"/>
        <v>-816.03676387770668</v>
      </c>
      <c r="E792">
        <f t="shared" si="74"/>
        <v>816.03676387770668</v>
      </c>
      <c r="F792" s="7">
        <f t="shared" si="78"/>
        <v>2658688.2030588933</v>
      </c>
      <c r="G792" s="2">
        <f t="shared" si="75"/>
        <v>1578</v>
      </c>
      <c r="J792" s="2">
        <v>1632.0735277554134</v>
      </c>
      <c r="K792" s="2">
        <f t="shared" si="76"/>
        <v>-816.03676387770668</v>
      </c>
      <c r="L792" s="2">
        <f t="shared" si="77"/>
        <v>816.03676387770668</v>
      </c>
    </row>
    <row r="793" spans="1:12" x14ac:dyDescent="0.25">
      <c r="A793">
        <v>791</v>
      </c>
      <c r="B793" s="1">
        <v>1580</v>
      </c>
      <c r="C793" s="1">
        <v>1629.232948353304</v>
      </c>
      <c r="D793">
        <f t="shared" si="73"/>
        <v>-814.61647417665199</v>
      </c>
      <c r="E793">
        <f t="shared" si="74"/>
        <v>814.61647417665199</v>
      </c>
      <c r="F793" s="7">
        <f t="shared" si="78"/>
        <v>2661949.5095350021</v>
      </c>
      <c r="G793" s="2">
        <f t="shared" si="75"/>
        <v>1580</v>
      </c>
      <c r="J793" s="2">
        <v>1629.232948353304</v>
      </c>
      <c r="K793" s="2">
        <f t="shared" si="76"/>
        <v>-814.61647417665199</v>
      </c>
      <c r="L793" s="2">
        <f t="shared" si="77"/>
        <v>814.61647417665199</v>
      </c>
    </row>
    <row r="794" spans="1:12" x14ac:dyDescent="0.25">
      <c r="A794">
        <v>792</v>
      </c>
      <c r="B794" s="1">
        <v>1582</v>
      </c>
      <c r="C794" s="1">
        <v>1626.3775699387888</v>
      </c>
      <c r="D794">
        <f t="shared" si="73"/>
        <v>-813.18878496939442</v>
      </c>
      <c r="E794">
        <f t="shared" si="74"/>
        <v>813.18878496939442</v>
      </c>
      <c r="F794" s="7">
        <f t="shared" si="78"/>
        <v>2665205.1200532941</v>
      </c>
      <c r="G794" s="2">
        <f t="shared" si="75"/>
        <v>1582</v>
      </c>
      <c r="J794" s="2">
        <v>1626.3775699387888</v>
      </c>
      <c r="K794" s="2">
        <f t="shared" si="76"/>
        <v>-813.18878496939442</v>
      </c>
      <c r="L794" s="2">
        <f t="shared" si="77"/>
        <v>813.18878496939442</v>
      </c>
    </row>
    <row r="795" spans="1:12" x14ac:dyDescent="0.25">
      <c r="A795">
        <v>793</v>
      </c>
      <c r="B795" s="1">
        <v>1584</v>
      </c>
      <c r="C795" s="1">
        <v>1623.5073144276253</v>
      </c>
      <c r="D795">
        <f t="shared" si="73"/>
        <v>-811.75365721381263</v>
      </c>
      <c r="E795">
        <f t="shared" si="74"/>
        <v>811.75365721381263</v>
      </c>
      <c r="F795" s="7">
        <f t="shared" si="78"/>
        <v>2668455.0049376604</v>
      </c>
      <c r="G795" s="2">
        <f t="shared" si="75"/>
        <v>1584</v>
      </c>
      <c r="J795" s="2">
        <v>1623.5073144276253</v>
      </c>
      <c r="K795" s="2">
        <f t="shared" si="76"/>
        <v>-811.75365721381263</v>
      </c>
      <c r="L795" s="2">
        <f t="shared" si="77"/>
        <v>811.75365721381263</v>
      </c>
    </row>
    <row r="796" spans="1:12" x14ac:dyDescent="0.25">
      <c r="A796">
        <v>794</v>
      </c>
      <c r="B796" s="1">
        <v>1586</v>
      </c>
      <c r="C796" s="1">
        <v>1620.6221027741169</v>
      </c>
      <c r="D796">
        <f t="shared" si="73"/>
        <v>-810.31105138705846</v>
      </c>
      <c r="E796">
        <f t="shared" si="74"/>
        <v>810.31105138705846</v>
      </c>
      <c r="F796" s="7">
        <f t="shared" si="78"/>
        <v>2671699.1343548624</v>
      </c>
      <c r="G796" s="2">
        <f t="shared" si="75"/>
        <v>1586</v>
      </c>
      <c r="J796" s="2">
        <v>1620.6221027741169</v>
      </c>
      <c r="K796" s="2">
        <f t="shared" si="76"/>
        <v>-810.31105138705846</v>
      </c>
      <c r="L796" s="2">
        <f t="shared" si="77"/>
        <v>810.31105138705846</v>
      </c>
    </row>
    <row r="797" spans="1:12" x14ac:dyDescent="0.25">
      <c r="A797">
        <v>795</v>
      </c>
      <c r="B797" s="1">
        <v>1588</v>
      </c>
      <c r="C797" s="1">
        <v>1617.7218549552949</v>
      </c>
      <c r="D797">
        <f t="shared" si="73"/>
        <v>-808.86092747764746</v>
      </c>
      <c r="E797">
        <f t="shared" si="74"/>
        <v>808.86092747764746</v>
      </c>
      <c r="F797" s="7">
        <f t="shared" si="78"/>
        <v>2674937.478312592</v>
      </c>
      <c r="G797" s="2">
        <f t="shared" si="75"/>
        <v>1588</v>
      </c>
      <c r="J797" s="2">
        <v>1617.7218549552949</v>
      </c>
      <c r="K797" s="2">
        <f t="shared" si="76"/>
        <v>-808.86092747764746</v>
      </c>
      <c r="L797" s="2">
        <f t="shared" si="77"/>
        <v>808.86092747764746</v>
      </c>
    </row>
    <row r="798" spans="1:12" x14ac:dyDescent="0.25">
      <c r="A798">
        <v>796</v>
      </c>
      <c r="B798" s="1">
        <v>1590</v>
      </c>
      <c r="C798" s="1">
        <v>1614.8064899547562</v>
      </c>
      <c r="D798">
        <f t="shared" si="73"/>
        <v>-807.40324497737811</v>
      </c>
      <c r="E798">
        <f t="shared" si="74"/>
        <v>807.40324497737811</v>
      </c>
      <c r="F798" s="7">
        <f t="shared" si="78"/>
        <v>2678170.0066575021</v>
      </c>
      <c r="G798" s="2">
        <f t="shared" si="75"/>
        <v>1590</v>
      </c>
      <c r="J798" s="2">
        <v>1614.8064899547562</v>
      </c>
      <c r="K798" s="2">
        <f t="shared" si="76"/>
        <v>-807.40324497737811</v>
      </c>
      <c r="L798" s="2">
        <f t="shared" si="77"/>
        <v>807.40324497737811</v>
      </c>
    </row>
    <row r="799" spans="1:12" x14ac:dyDescent="0.25">
      <c r="A799">
        <v>797</v>
      </c>
      <c r="B799" s="1">
        <v>1592</v>
      </c>
      <c r="C799" s="1">
        <v>1611.8759257461475</v>
      </c>
      <c r="D799">
        <f t="shared" si="73"/>
        <v>-805.93796287307373</v>
      </c>
      <c r="E799">
        <f t="shared" si="74"/>
        <v>805.93796287307373</v>
      </c>
      <c r="F799" s="7">
        <f t="shared" si="78"/>
        <v>2681396.6890732031</v>
      </c>
      <c r="G799" s="2">
        <f t="shared" si="75"/>
        <v>1592</v>
      </c>
      <c r="J799" s="2">
        <v>1611.8759257461475</v>
      </c>
      <c r="K799" s="2">
        <f t="shared" si="76"/>
        <v>-805.93796287307373</v>
      </c>
      <c r="L799" s="2">
        <f t="shared" si="77"/>
        <v>805.93796287307373</v>
      </c>
    </row>
    <row r="800" spans="1:12" x14ac:dyDescent="0.25">
      <c r="A800">
        <v>798</v>
      </c>
      <c r="B800" s="1">
        <v>1594</v>
      </c>
      <c r="C800" s="1">
        <v>1608.9300792762872</v>
      </c>
      <c r="D800">
        <f t="shared" si="73"/>
        <v>-804.46503963814359</v>
      </c>
      <c r="E800">
        <f t="shared" si="74"/>
        <v>804.46503963814359</v>
      </c>
      <c r="F800" s="7">
        <f t="shared" si="78"/>
        <v>2684617.4950782256</v>
      </c>
      <c r="G800" s="2">
        <f t="shared" si="75"/>
        <v>1594</v>
      </c>
      <c r="J800" s="2">
        <v>1608.9300792762872</v>
      </c>
      <c r="K800" s="2">
        <f t="shared" si="76"/>
        <v>-804.46503963814359</v>
      </c>
      <c r="L800" s="2">
        <f t="shared" si="77"/>
        <v>804.46503963814359</v>
      </c>
    </row>
    <row r="801" spans="1:12" x14ac:dyDescent="0.25">
      <c r="A801">
        <v>799</v>
      </c>
      <c r="B801" s="1">
        <v>1596</v>
      </c>
      <c r="C801" s="1">
        <v>1605.9688664479147</v>
      </c>
      <c r="D801">
        <f t="shared" si="73"/>
        <v>-802.98443322395735</v>
      </c>
      <c r="E801">
        <f t="shared" si="74"/>
        <v>802.98443322395735</v>
      </c>
      <c r="F801" s="7">
        <f t="shared" si="78"/>
        <v>2687832.3940239497</v>
      </c>
      <c r="G801" s="2">
        <f t="shared" si="75"/>
        <v>1596</v>
      </c>
      <c r="J801" s="2">
        <v>1605.9688664479147</v>
      </c>
      <c r="K801" s="2">
        <f t="shared" si="76"/>
        <v>-802.98443322395735</v>
      </c>
      <c r="L801" s="2">
        <f t="shared" si="77"/>
        <v>802.98443322395735</v>
      </c>
    </row>
    <row r="802" spans="1:12" x14ac:dyDescent="0.25">
      <c r="A802">
        <v>800</v>
      </c>
      <c r="B802" s="1">
        <v>1598</v>
      </c>
      <c r="C802" s="1">
        <v>1602.9922021020564</v>
      </c>
      <c r="D802">
        <f t="shared" si="73"/>
        <v>-801.49610105102818</v>
      </c>
      <c r="E802">
        <f t="shared" si="74"/>
        <v>801.49610105102818</v>
      </c>
      <c r="F802" s="7">
        <f t="shared" si="78"/>
        <v>2691041.3550924999</v>
      </c>
      <c r="G802" s="2">
        <f t="shared" si="75"/>
        <v>1598</v>
      </c>
      <c r="J802" s="2">
        <v>1602.9922021020564</v>
      </c>
      <c r="K802" s="2">
        <f t="shared" si="76"/>
        <v>-801.49610105102818</v>
      </c>
      <c r="L802" s="2">
        <f t="shared" si="77"/>
        <v>801.49610105102818</v>
      </c>
    </row>
    <row r="803" spans="1:12" x14ac:dyDescent="0.25">
      <c r="A803">
        <v>801</v>
      </c>
      <c r="B803" s="1">
        <v>1600</v>
      </c>
      <c r="C803" s="1">
        <v>1600</v>
      </c>
      <c r="D803">
        <f t="shared" si="73"/>
        <v>-800</v>
      </c>
      <c r="E803">
        <f t="shared" si="74"/>
        <v>800</v>
      </c>
      <c r="F803" s="7">
        <f t="shared" si="78"/>
        <v>2694244.3472946021</v>
      </c>
      <c r="G803" s="2">
        <f t="shared" si="75"/>
        <v>1600</v>
      </c>
      <c r="J803" s="2">
        <v>1600</v>
      </c>
      <c r="K803" s="2">
        <f t="shared" si="76"/>
        <v>-800</v>
      </c>
      <c r="L803" s="2">
        <f t="shared" si="77"/>
        <v>800</v>
      </c>
    </row>
    <row r="804" spans="1:12" x14ac:dyDescent="0.25">
      <c r="A804">
        <v>802</v>
      </c>
      <c r="B804" s="1">
        <v>1602</v>
      </c>
      <c r="C804" s="1">
        <v>1596.9921728048639</v>
      </c>
      <c r="D804">
        <f t="shared" si="73"/>
        <v>-798.49608640243196</v>
      </c>
      <c r="E804">
        <f t="shared" si="74"/>
        <v>798.49608640243196</v>
      </c>
      <c r="F804" s="7">
        <f t="shared" si="78"/>
        <v>2697441.3394674067</v>
      </c>
      <c r="G804" s="2">
        <f t="shared" si="75"/>
        <v>1602</v>
      </c>
      <c r="J804" s="2">
        <v>1596.9921728048639</v>
      </c>
      <c r="K804" s="2">
        <f t="shared" si="76"/>
        <v>-798.49608640243196</v>
      </c>
      <c r="L804" s="2">
        <f t="shared" si="77"/>
        <v>798.49608640243196</v>
      </c>
    </row>
    <row r="805" spans="1:12" x14ac:dyDescent="0.25">
      <c r="A805">
        <v>803</v>
      </c>
      <c r="B805" s="1">
        <v>1604</v>
      </c>
      <c r="C805" s="1">
        <v>1593.9686320627518</v>
      </c>
      <c r="D805">
        <f t="shared" si="73"/>
        <v>-796.9843160313759</v>
      </c>
      <c r="E805">
        <f t="shared" si="74"/>
        <v>796.9843160313759</v>
      </c>
      <c r="F805" s="7">
        <f t="shared" si="78"/>
        <v>2700632.3002722743</v>
      </c>
      <c r="G805" s="2">
        <f t="shared" si="75"/>
        <v>1604</v>
      </c>
      <c r="J805" s="2">
        <v>1593.9686320627518</v>
      </c>
      <c r="K805" s="2">
        <f t="shared" si="76"/>
        <v>-796.9843160313759</v>
      </c>
      <c r="L805" s="2">
        <f t="shared" si="77"/>
        <v>796.9843160313759</v>
      </c>
    </row>
    <row r="806" spans="1:12" x14ac:dyDescent="0.25">
      <c r="A806">
        <v>804</v>
      </c>
      <c r="B806" s="1">
        <v>1606</v>
      </c>
      <c r="C806" s="1">
        <v>1590.9292881834817</v>
      </c>
      <c r="D806">
        <f t="shared" si="73"/>
        <v>-795.46464409174087</v>
      </c>
      <c r="E806">
        <f t="shared" si="74"/>
        <v>795.46464409174087</v>
      </c>
      <c r="F806" s="7">
        <f t="shared" si="78"/>
        <v>2703817.1981925205</v>
      </c>
      <c r="G806" s="2">
        <f t="shared" si="75"/>
        <v>1606</v>
      </c>
      <c r="J806" s="2">
        <v>1590.9292881834817</v>
      </c>
      <c r="K806" s="2">
        <f t="shared" si="76"/>
        <v>-795.46464409174087</v>
      </c>
      <c r="L806" s="2">
        <f t="shared" si="77"/>
        <v>795.46464409174087</v>
      </c>
    </row>
    <row r="807" spans="1:12" x14ac:dyDescent="0.25">
      <c r="A807">
        <v>805</v>
      </c>
      <c r="B807" s="1">
        <v>1608</v>
      </c>
      <c r="C807" s="1">
        <v>1587.8740504208765</v>
      </c>
      <c r="D807">
        <f t="shared" si="73"/>
        <v>-793.93702521043826</v>
      </c>
      <c r="E807">
        <f t="shared" si="74"/>
        <v>793.93702521043826</v>
      </c>
      <c r="F807" s="7">
        <f t="shared" si="78"/>
        <v>2706996.001531125</v>
      </c>
      <c r="G807" s="2">
        <f t="shared" si="75"/>
        <v>1608</v>
      </c>
      <c r="J807" s="2">
        <v>1587.8740504208765</v>
      </c>
      <c r="K807" s="2">
        <f t="shared" si="76"/>
        <v>-793.93702521043826</v>
      </c>
      <c r="L807" s="2">
        <f t="shared" si="77"/>
        <v>793.93702521043826</v>
      </c>
    </row>
    <row r="808" spans="1:12" x14ac:dyDescent="0.25">
      <c r="A808">
        <v>806</v>
      </c>
      <c r="B808" s="1">
        <v>1610</v>
      </c>
      <c r="C808" s="1">
        <v>1584.8028268526025</v>
      </c>
      <c r="D808">
        <f t="shared" si="73"/>
        <v>-792.40141342630125</v>
      </c>
      <c r="E808">
        <f t="shared" si="74"/>
        <v>792.40141342630125</v>
      </c>
      <c r="F808" s="7">
        <f t="shared" si="78"/>
        <v>2710168.6784083983</v>
      </c>
      <c r="G808" s="2">
        <f t="shared" si="75"/>
        <v>1610</v>
      </c>
      <c r="J808" s="2">
        <v>1584.8028268526025</v>
      </c>
      <c r="K808" s="2">
        <f t="shared" si="76"/>
        <v>-792.40141342630125</v>
      </c>
      <c r="L808" s="2">
        <f t="shared" si="77"/>
        <v>792.40141342630125</v>
      </c>
    </row>
    <row r="809" spans="1:12" x14ac:dyDescent="0.25">
      <c r="A809">
        <v>807</v>
      </c>
      <c r="B809" s="1">
        <v>1612</v>
      </c>
      <c r="C809" s="1">
        <v>1581.715524359548</v>
      </c>
      <c r="D809">
        <f t="shared" si="73"/>
        <v>-790.857762179774</v>
      </c>
      <c r="E809">
        <f t="shared" si="74"/>
        <v>790.857762179774</v>
      </c>
      <c r="F809" s="7">
        <f t="shared" si="78"/>
        <v>2713335.1967596104</v>
      </c>
      <c r="G809" s="2">
        <f t="shared" si="75"/>
        <v>1612</v>
      </c>
      <c r="J809" s="2">
        <v>1581.715524359548</v>
      </c>
      <c r="K809" s="2">
        <f t="shared" si="76"/>
        <v>-790.857762179774</v>
      </c>
      <c r="L809" s="2">
        <f t="shared" si="77"/>
        <v>790.857762179774</v>
      </c>
    </row>
    <row r="810" spans="1:12" x14ac:dyDescent="0.25">
      <c r="A810">
        <v>808</v>
      </c>
      <c r="B810" s="1">
        <v>1614</v>
      </c>
      <c r="C810" s="1">
        <v>1578.612048604723</v>
      </c>
      <c r="D810">
        <f t="shared" si="73"/>
        <v>-789.30602430236149</v>
      </c>
      <c r="E810">
        <f t="shared" si="74"/>
        <v>789.30602430236149</v>
      </c>
      <c r="F810" s="7">
        <f t="shared" si="78"/>
        <v>2716495.5243325746</v>
      </c>
      <c r="G810" s="2">
        <f t="shared" si="75"/>
        <v>1614</v>
      </c>
      <c r="J810" s="2">
        <v>1578.612048604723</v>
      </c>
      <c r="K810" s="2">
        <f t="shared" si="76"/>
        <v>-789.30602430236149</v>
      </c>
      <c r="L810" s="2">
        <f t="shared" si="77"/>
        <v>789.30602430236149</v>
      </c>
    </row>
    <row r="811" spans="1:12" x14ac:dyDescent="0.25">
      <c r="A811">
        <v>809</v>
      </c>
      <c r="B811" s="1">
        <v>1616</v>
      </c>
      <c r="C811" s="1">
        <v>1575.4923040116698</v>
      </c>
      <c r="D811">
        <f t="shared" si="73"/>
        <v>-787.74615200583492</v>
      </c>
      <c r="E811">
        <f t="shared" si="74"/>
        <v>787.74615200583492</v>
      </c>
      <c r="F811" s="7">
        <f t="shared" si="78"/>
        <v>2719649.6286851908</v>
      </c>
      <c r="G811" s="2">
        <f t="shared" si="75"/>
        <v>1616</v>
      </c>
      <c r="J811" s="2">
        <v>1575.4923040116698</v>
      </c>
      <c r="K811" s="2">
        <f t="shared" si="76"/>
        <v>-787.74615200583492</v>
      </c>
      <c r="L811" s="2">
        <f t="shared" si="77"/>
        <v>787.74615200583492</v>
      </c>
    </row>
    <row r="812" spans="1:12" x14ac:dyDescent="0.25">
      <c r="A812">
        <v>810</v>
      </c>
      <c r="B812" s="1">
        <v>1618</v>
      </c>
      <c r="C812" s="1">
        <v>1572.3561937423722</v>
      </c>
      <c r="D812">
        <f t="shared" si="73"/>
        <v>-786.17809687118609</v>
      </c>
      <c r="E812">
        <f t="shared" si="74"/>
        <v>786.17809687118609</v>
      </c>
      <c r="F812" s="7">
        <f t="shared" si="78"/>
        <v>2722797.4771829448</v>
      </c>
      <c r="G812" s="2">
        <f t="shared" si="75"/>
        <v>1618</v>
      </c>
      <c r="J812" s="2">
        <v>1572.3561937423722</v>
      </c>
      <c r="K812" s="2">
        <f t="shared" si="76"/>
        <v>-786.17809687118609</v>
      </c>
      <c r="L812" s="2">
        <f t="shared" si="77"/>
        <v>786.17809687118609</v>
      </c>
    </row>
    <row r="813" spans="1:12" x14ac:dyDescent="0.25">
      <c r="A813">
        <v>811</v>
      </c>
      <c r="B813" s="1">
        <v>1620</v>
      </c>
      <c r="C813" s="1">
        <v>1569.2036196746424</v>
      </c>
      <c r="D813">
        <f t="shared" si="73"/>
        <v>-784.60180983732118</v>
      </c>
      <c r="E813">
        <f t="shared" si="74"/>
        <v>784.60180983732118</v>
      </c>
      <c r="F813" s="7">
        <f t="shared" si="78"/>
        <v>2725939.0369963618</v>
      </c>
      <c r="G813" s="2">
        <f t="shared" si="75"/>
        <v>1620</v>
      </c>
      <c r="J813" s="2">
        <v>1569.2036196746424</v>
      </c>
      <c r="K813" s="2">
        <f t="shared" si="76"/>
        <v>-784.60180983732118</v>
      </c>
      <c r="L813" s="2">
        <f t="shared" si="77"/>
        <v>784.60180983732118</v>
      </c>
    </row>
    <row r="814" spans="1:12" x14ac:dyDescent="0.25">
      <c r="A814">
        <v>812</v>
      </c>
      <c r="B814" s="1">
        <v>1622</v>
      </c>
      <c r="C814" s="1">
        <v>1566.0344823789801</v>
      </c>
      <c r="D814">
        <f t="shared" si="73"/>
        <v>-783.01724118949005</v>
      </c>
      <c r="E814">
        <f t="shared" si="74"/>
        <v>783.01724118949005</v>
      </c>
      <c r="F814" s="7">
        <f t="shared" si="78"/>
        <v>2729074.2750984156</v>
      </c>
      <c r="G814" s="2">
        <f t="shared" si="75"/>
        <v>1622</v>
      </c>
      <c r="J814" s="2">
        <v>1566.0344823789801</v>
      </c>
      <c r="K814" s="2">
        <f t="shared" si="76"/>
        <v>-783.01724118949005</v>
      </c>
      <c r="L814" s="2">
        <f t="shared" si="77"/>
        <v>783.01724118949005</v>
      </c>
    </row>
    <row r="815" spans="1:12" x14ac:dyDescent="0.25">
      <c r="A815">
        <v>813</v>
      </c>
      <c r="B815" s="1">
        <v>1624</v>
      </c>
      <c r="C815" s="1">
        <v>1562.8486810948782</v>
      </c>
      <c r="D815">
        <f t="shared" si="73"/>
        <v>-781.4243405474391</v>
      </c>
      <c r="E815">
        <f t="shared" si="74"/>
        <v>781.4243405474391</v>
      </c>
      <c r="F815" s="7">
        <f t="shared" si="78"/>
        <v>2732203.1582618896</v>
      </c>
      <c r="G815" s="2">
        <f t="shared" si="75"/>
        <v>1624</v>
      </c>
      <c r="J815" s="2">
        <v>1562.8486810948782</v>
      </c>
      <c r="K815" s="2">
        <f t="shared" si="76"/>
        <v>-781.4243405474391</v>
      </c>
      <c r="L815" s="2">
        <f t="shared" si="77"/>
        <v>781.4243405474391</v>
      </c>
    </row>
    <row r="816" spans="1:12" x14ac:dyDescent="0.25">
      <c r="A816">
        <v>814</v>
      </c>
      <c r="B816" s="1">
        <v>1626</v>
      </c>
      <c r="C816" s="1">
        <v>1559.6461137065678</v>
      </c>
      <c r="D816">
        <f t="shared" si="73"/>
        <v>-779.8230568532839</v>
      </c>
      <c r="E816">
        <f t="shared" si="74"/>
        <v>779.8230568532839</v>
      </c>
      <c r="F816" s="7">
        <f t="shared" si="78"/>
        <v>2735325.6530566909</v>
      </c>
      <c r="G816" s="2">
        <f t="shared" si="75"/>
        <v>1626</v>
      </c>
      <c r="J816" s="2">
        <v>1559.6461137065678</v>
      </c>
      <c r="K816" s="2">
        <f t="shared" si="76"/>
        <v>-779.8230568532839</v>
      </c>
      <c r="L816" s="2">
        <f t="shared" si="77"/>
        <v>779.8230568532839</v>
      </c>
    </row>
    <row r="817" spans="1:12" x14ac:dyDescent="0.25">
      <c r="A817">
        <v>815</v>
      </c>
      <c r="B817" s="1">
        <v>1628</v>
      </c>
      <c r="C817" s="1">
        <v>1556.4266767181807</v>
      </c>
      <c r="D817">
        <f t="shared" si="73"/>
        <v>-778.21333835909036</v>
      </c>
      <c r="E817">
        <f t="shared" si="74"/>
        <v>778.21333835909036</v>
      </c>
      <c r="F817" s="7">
        <f t="shared" si="78"/>
        <v>2738441.7258471157</v>
      </c>
      <c r="G817" s="2">
        <f t="shared" si="75"/>
        <v>1628</v>
      </c>
      <c r="J817" s="2">
        <v>1556.4266767181807</v>
      </c>
      <c r="K817" s="2">
        <f t="shared" si="76"/>
        <v>-778.21333835909036</v>
      </c>
      <c r="L817" s="2">
        <f t="shared" si="77"/>
        <v>778.21333835909036</v>
      </c>
    </row>
    <row r="818" spans="1:12" x14ac:dyDescent="0.25">
      <c r="A818">
        <v>816</v>
      </c>
      <c r="B818" s="1">
        <v>1630</v>
      </c>
      <c r="C818" s="1">
        <v>1553.1902652283138</v>
      </c>
      <c r="D818">
        <f t="shared" si="73"/>
        <v>-776.59513261415691</v>
      </c>
      <c r="E818">
        <f t="shared" si="74"/>
        <v>776.59513261415691</v>
      </c>
      <c r="F818" s="7">
        <f t="shared" si="78"/>
        <v>2741551.3427890623</v>
      </c>
      <c r="G818" s="2">
        <f t="shared" si="75"/>
        <v>1630</v>
      </c>
      <c r="J818" s="2">
        <v>1553.1902652283138</v>
      </c>
      <c r="K818" s="2">
        <f t="shared" si="76"/>
        <v>-776.59513261415691</v>
      </c>
      <c r="L818" s="2">
        <f t="shared" si="77"/>
        <v>776.59513261415691</v>
      </c>
    </row>
    <row r="819" spans="1:12" x14ac:dyDescent="0.25">
      <c r="A819">
        <v>817</v>
      </c>
      <c r="B819" s="1">
        <v>1632</v>
      </c>
      <c r="C819" s="1">
        <v>1549.9367729039789</v>
      </c>
      <c r="D819">
        <f t="shared" si="73"/>
        <v>-774.96838645198943</v>
      </c>
      <c r="E819">
        <f t="shared" si="74"/>
        <v>774.96838645198943</v>
      </c>
      <c r="F819" s="7">
        <f t="shared" si="78"/>
        <v>2744654.4698271947</v>
      </c>
      <c r="G819" s="2">
        <f t="shared" si="75"/>
        <v>1632</v>
      </c>
      <c r="J819" s="2">
        <v>1549.9367729039789</v>
      </c>
      <c r="K819" s="2">
        <f t="shared" si="76"/>
        <v>-774.96838645198943</v>
      </c>
      <c r="L819" s="2">
        <f t="shared" si="77"/>
        <v>774.96838645198943</v>
      </c>
    </row>
    <row r="820" spans="1:12" x14ac:dyDescent="0.25">
      <c r="A820">
        <v>818</v>
      </c>
      <c r="B820" s="1">
        <v>1634</v>
      </c>
      <c r="C820" s="1">
        <v>1546.6660919539163</v>
      </c>
      <c r="D820">
        <f t="shared" si="73"/>
        <v>-773.33304597695815</v>
      </c>
      <c r="E820">
        <f t="shared" si="74"/>
        <v>773.33304597695815</v>
      </c>
      <c r="F820" s="7">
        <f t="shared" si="78"/>
        <v>2747751.0726920525</v>
      </c>
      <c r="G820" s="2">
        <f t="shared" si="75"/>
        <v>1634</v>
      </c>
      <c r="J820" s="2">
        <v>1546.6660919539163</v>
      </c>
      <c r="K820" s="2">
        <f t="shared" si="76"/>
        <v>-773.33304597695815</v>
      </c>
      <c r="L820" s="2">
        <f t="shared" si="77"/>
        <v>773.33304597695815</v>
      </c>
    </row>
    <row r="821" spans="1:12" x14ac:dyDescent="0.25">
      <c r="A821">
        <v>819</v>
      </c>
      <c r="B821" s="1">
        <v>1636</v>
      </c>
      <c r="C821" s="1">
        <v>1543.3781131012581</v>
      </c>
      <c r="D821">
        <f t="shared" si="73"/>
        <v>-771.68905655062906</v>
      </c>
      <c r="E821">
        <f t="shared" si="74"/>
        <v>771.68905655062906</v>
      </c>
      <c r="F821" s="7">
        <f t="shared" si="78"/>
        <v>2750841.1168971076</v>
      </c>
      <c r="G821" s="2">
        <f t="shared" si="75"/>
        <v>1636</v>
      </c>
      <c r="J821" s="2">
        <v>1543.3781131012581</v>
      </c>
      <c r="K821" s="2">
        <f t="shared" si="76"/>
        <v>-771.68905655062906</v>
      </c>
      <c r="L821" s="2">
        <f t="shared" si="77"/>
        <v>771.68905655062906</v>
      </c>
    </row>
    <row r="822" spans="1:12" x14ac:dyDescent="0.25">
      <c r="A822">
        <v>820</v>
      </c>
      <c r="B822" s="1">
        <v>1638</v>
      </c>
      <c r="C822" s="1">
        <v>1540.0727255555173</v>
      </c>
      <c r="D822">
        <f t="shared" si="73"/>
        <v>-770.03636277775865</v>
      </c>
      <c r="E822">
        <f t="shared" si="74"/>
        <v>770.03636277775865</v>
      </c>
      <c r="F822" s="7">
        <f t="shared" si="78"/>
        <v>2753924.5677357642</v>
      </c>
      <c r="G822" s="2">
        <f t="shared" si="75"/>
        <v>1638</v>
      </c>
      <c r="J822" s="2">
        <v>1540.0727255555173</v>
      </c>
      <c r="K822" s="2">
        <f t="shared" si="76"/>
        <v>-770.03636277775865</v>
      </c>
      <c r="L822" s="2">
        <f t="shared" si="77"/>
        <v>770.03636277775865</v>
      </c>
    </row>
    <row r="823" spans="1:12" x14ac:dyDescent="0.25">
      <c r="A823">
        <v>821</v>
      </c>
      <c r="B823" s="1">
        <v>1640</v>
      </c>
      <c r="C823" s="1">
        <v>1536.7498169838836</v>
      </c>
      <c r="D823">
        <f t="shared" si="73"/>
        <v>-768.37490849194182</v>
      </c>
      <c r="E823">
        <f t="shared" si="74"/>
        <v>768.37490849194182</v>
      </c>
      <c r="F823" s="7">
        <f t="shared" si="78"/>
        <v>2757001.3902783035</v>
      </c>
      <c r="G823" s="2">
        <f t="shared" si="75"/>
        <v>1640</v>
      </c>
      <c r="J823" s="2">
        <v>1536.7498169838836</v>
      </c>
      <c r="K823" s="2">
        <f t="shared" si="76"/>
        <v>-768.37490849194182</v>
      </c>
      <c r="L823" s="2">
        <f t="shared" si="77"/>
        <v>768.37490849194182</v>
      </c>
    </row>
    <row r="824" spans="1:12" x14ac:dyDescent="0.25">
      <c r="A824">
        <v>822</v>
      </c>
      <c r="B824" s="1">
        <v>1642</v>
      </c>
      <c r="C824" s="1">
        <v>1533.4092734818059</v>
      </c>
      <c r="D824">
        <f t="shared" si="73"/>
        <v>-766.70463674090297</v>
      </c>
      <c r="E824">
        <f t="shared" si="74"/>
        <v>766.70463674090297</v>
      </c>
      <c r="F824" s="7">
        <f t="shared" si="78"/>
        <v>2760071.5493687694</v>
      </c>
      <c r="G824" s="2">
        <f t="shared" si="75"/>
        <v>1642</v>
      </c>
      <c r="J824" s="2">
        <v>1533.4092734818059</v>
      </c>
      <c r="K824" s="2">
        <f t="shared" si="76"/>
        <v>-766.70463674090297</v>
      </c>
      <c r="L824" s="2">
        <f t="shared" si="77"/>
        <v>766.70463674090297</v>
      </c>
    </row>
    <row r="825" spans="1:12" x14ac:dyDescent="0.25">
      <c r="A825">
        <v>823</v>
      </c>
      <c r="B825" s="1">
        <v>1644</v>
      </c>
      <c r="C825" s="1">
        <v>1530.0509795428386</v>
      </c>
      <c r="D825">
        <f t="shared" si="73"/>
        <v>-765.0254897714193</v>
      </c>
      <c r="E825">
        <f t="shared" si="74"/>
        <v>765.0254897714193</v>
      </c>
      <c r="F825" s="7">
        <f t="shared" si="78"/>
        <v>2763135.0096217939</v>
      </c>
      <c r="G825" s="2">
        <f t="shared" si="75"/>
        <v>1644</v>
      </c>
      <c r="J825" s="2">
        <v>1530.0509795428386</v>
      </c>
      <c r="K825" s="2">
        <f t="shared" si="76"/>
        <v>-765.0254897714193</v>
      </c>
      <c r="L825" s="2">
        <f t="shared" si="77"/>
        <v>765.0254897714193</v>
      </c>
    </row>
    <row r="826" spans="1:12" x14ac:dyDescent="0.25">
      <c r="A826">
        <v>824</v>
      </c>
      <c r="B826" s="1">
        <v>1646</v>
      </c>
      <c r="C826" s="1">
        <v>1526.6748180277291</v>
      </c>
      <c r="D826">
        <f t="shared" si="73"/>
        <v>-763.33740901386454</v>
      </c>
      <c r="E826">
        <f t="shared" si="74"/>
        <v>763.33740901386454</v>
      </c>
      <c r="F826" s="7">
        <f t="shared" si="78"/>
        <v>2766191.7354193646</v>
      </c>
      <c r="G826" s="2">
        <f t="shared" si="75"/>
        <v>1646</v>
      </c>
      <c r="J826" s="2">
        <v>1526.6748180277291</v>
      </c>
      <c r="K826" s="2">
        <f t="shared" si="76"/>
        <v>-763.33740901386454</v>
      </c>
      <c r="L826" s="2">
        <f t="shared" si="77"/>
        <v>763.33740901386454</v>
      </c>
    </row>
    <row r="827" spans="1:12" x14ac:dyDescent="0.25">
      <c r="A827">
        <v>825</v>
      </c>
      <c r="B827" s="1">
        <v>1648</v>
      </c>
      <c r="C827" s="1">
        <v>1523.2806701327238</v>
      </c>
      <c r="D827">
        <f t="shared" si="73"/>
        <v>-761.6403350663619</v>
      </c>
      <c r="E827">
        <f t="shared" si="74"/>
        <v>761.6403350663619</v>
      </c>
      <c r="F827" s="7">
        <f t="shared" si="78"/>
        <v>2769241.6909075249</v>
      </c>
      <c r="G827" s="2">
        <f t="shared" si="75"/>
        <v>1648</v>
      </c>
      <c r="J827" s="2">
        <v>1523.2806701327238</v>
      </c>
      <c r="K827" s="2">
        <f t="shared" si="76"/>
        <v>-761.6403350663619</v>
      </c>
      <c r="L827" s="2">
        <f t="shared" si="77"/>
        <v>761.6403350663619</v>
      </c>
    </row>
    <row r="828" spans="1:12" x14ac:dyDescent="0.25">
      <c r="A828">
        <v>826</v>
      </c>
      <c r="B828" s="1">
        <v>1650</v>
      </c>
      <c r="C828" s="1">
        <v>1519.8684153570664</v>
      </c>
      <c r="D828">
        <f t="shared" si="73"/>
        <v>-759.9342076785332</v>
      </c>
      <c r="E828">
        <f t="shared" si="74"/>
        <v>759.9342076785332</v>
      </c>
      <c r="F828" s="7">
        <f t="shared" si="78"/>
        <v>2772284.8399930145</v>
      </c>
      <c r="G828" s="2">
        <f t="shared" si="75"/>
        <v>1650</v>
      </c>
      <c r="J828" s="2">
        <v>1519.8684153570664</v>
      </c>
      <c r="K828" s="2">
        <f t="shared" si="76"/>
        <v>-759.9342076785332</v>
      </c>
      <c r="L828" s="2">
        <f t="shared" si="77"/>
        <v>759.9342076785332</v>
      </c>
    </row>
    <row r="829" spans="1:12" x14ac:dyDescent="0.25">
      <c r="A829">
        <v>827</v>
      </c>
      <c r="B829" s="1">
        <v>1652</v>
      </c>
      <c r="C829" s="1">
        <v>1516.4379314696662</v>
      </c>
      <c r="D829">
        <f t="shared" si="73"/>
        <v>-758.21896573483309</v>
      </c>
      <c r="E829">
        <f t="shared" si="74"/>
        <v>758.21896573483309</v>
      </c>
      <c r="F829" s="7">
        <f t="shared" si="78"/>
        <v>2775321.1463398412</v>
      </c>
      <c r="G829" s="2">
        <f t="shared" si="75"/>
        <v>1652</v>
      </c>
      <c r="J829" s="2">
        <v>1516.4379314696662</v>
      </c>
      <c r="K829" s="2">
        <f t="shared" si="76"/>
        <v>-758.21896573483309</v>
      </c>
      <c r="L829" s="2">
        <f t="shared" si="77"/>
        <v>758.21896573483309</v>
      </c>
    </row>
    <row r="830" spans="1:12" x14ac:dyDescent="0.25">
      <c r="A830">
        <v>828</v>
      </c>
      <c r="B830" s="1">
        <v>1654</v>
      </c>
      <c r="C830" s="1">
        <v>1512.9890944749072</v>
      </c>
      <c r="D830">
        <f t="shared" si="73"/>
        <v>-756.49454723745362</v>
      </c>
      <c r="E830">
        <f t="shared" si="74"/>
        <v>756.49454723745362</v>
      </c>
      <c r="F830" s="7">
        <f t="shared" si="78"/>
        <v>2778350.5733657856</v>
      </c>
      <c r="G830" s="2">
        <f t="shared" si="75"/>
        <v>1654</v>
      </c>
      <c r="J830" s="2">
        <v>1512.9890944749072</v>
      </c>
      <c r="K830" s="2">
        <f t="shared" si="76"/>
        <v>-756.49454723745362</v>
      </c>
      <c r="L830" s="2">
        <f t="shared" si="77"/>
        <v>756.49454723745362</v>
      </c>
    </row>
    <row r="831" spans="1:12" x14ac:dyDescent="0.25">
      <c r="A831">
        <v>829</v>
      </c>
      <c r="B831" s="1">
        <v>1656</v>
      </c>
      <c r="C831" s="1">
        <v>1509.5217785775733</v>
      </c>
      <c r="D831">
        <f t="shared" si="73"/>
        <v>-754.76088928878664</v>
      </c>
      <c r="E831">
        <f t="shared" si="74"/>
        <v>754.76088928878664</v>
      </c>
      <c r="F831" s="7">
        <f t="shared" si="78"/>
        <v>2781373.0842388379</v>
      </c>
      <c r="G831" s="2">
        <f t="shared" si="75"/>
        <v>1656</v>
      </c>
      <c r="J831" s="2">
        <v>1509.5217785775733</v>
      </c>
      <c r="K831" s="2">
        <f t="shared" si="76"/>
        <v>-754.76088928878664</v>
      </c>
      <c r="L831" s="2">
        <f t="shared" si="77"/>
        <v>754.76088928878664</v>
      </c>
    </row>
    <row r="832" spans="1:12" x14ac:dyDescent="0.25">
      <c r="A832">
        <v>830</v>
      </c>
      <c r="B832" s="1">
        <v>1658</v>
      </c>
      <c r="C832" s="1">
        <v>1506.0358561468581</v>
      </c>
      <c r="D832">
        <f t="shared" si="73"/>
        <v>-753.01792807342906</v>
      </c>
      <c r="E832">
        <f t="shared" si="74"/>
        <v>753.01792807342906</v>
      </c>
      <c r="F832" s="7">
        <f t="shared" si="78"/>
        <v>2784388.6418735622</v>
      </c>
      <c r="G832" s="2">
        <f t="shared" si="75"/>
        <v>1658</v>
      </c>
      <c r="J832" s="2">
        <v>1506.0358561468581</v>
      </c>
      <c r="K832" s="2">
        <f t="shared" si="76"/>
        <v>-753.01792807342906</v>
      </c>
      <c r="L832" s="2">
        <f t="shared" si="77"/>
        <v>753.01792807342906</v>
      </c>
    </row>
    <row r="833" spans="1:12" x14ac:dyDescent="0.25">
      <c r="A833">
        <v>831</v>
      </c>
      <c r="B833" s="1">
        <v>1660</v>
      </c>
      <c r="C833" s="1">
        <v>1502.5311976794358</v>
      </c>
      <c r="D833">
        <f t="shared" si="73"/>
        <v>-751.26559883971788</v>
      </c>
      <c r="E833">
        <f t="shared" si="74"/>
        <v>751.26559883971788</v>
      </c>
      <c r="F833" s="7">
        <f t="shared" si="78"/>
        <v>2787397.2089273888</v>
      </c>
      <c r="G833" s="2">
        <f t="shared" si="75"/>
        <v>1660</v>
      </c>
      <c r="J833" s="2">
        <v>1502.5311976794358</v>
      </c>
      <c r="K833" s="2">
        <f t="shared" si="76"/>
        <v>-751.26559883971788</v>
      </c>
      <c r="L833" s="2">
        <f t="shared" si="77"/>
        <v>751.26559883971788</v>
      </c>
    </row>
    <row r="834" spans="1:12" x14ac:dyDescent="0.25">
      <c r="A834">
        <v>832</v>
      </c>
      <c r="B834" s="1">
        <v>1662</v>
      </c>
      <c r="C834" s="1">
        <v>1499.0076717615557</v>
      </c>
      <c r="D834">
        <f t="shared" si="73"/>
        <v>-749.50383588077784</v>
      </c>
      <c r="E834">
        <f t="shared" si="74"/>
        <v>749.50383588077784</v>
      </c>
      <c r="F834" s="7">
        <f t="shared" si="78"/>
        <v>2790398.7477968298</v>
      </c>
      <c r="G834" s="2">
        <f t="shared" si="75"/>
        <v>1662</v>
      </c>
      <c r="J834" s="2">
        <v>1499.0076717615557</v>
      </c>
      <c r="K834" s="2">
        <f t="shared" si="76"/>
        <v>-749.50383588077784</v>
      </c>
      <c r="L834" s="2">
        <f t="shared" si="77"/>
        <v>749.50383588077784</v>
      </c>
    </row>
    <row r="835" spans="1:12" x14ac:dyDescent="0.25">
      <c r="A835">
        <v>833</v>
      </c>
      <c r="B835" s="1">
        <v>1664</v>
      </c>
      <c r="C835" s="1">
        <v>1495.4651450301342</v>
      </c>
      <c r="D835">
        <f t="shared" si="73"/>
        <v>-747.73257251506709</v>
      </c>
      <c r="E835">
        <f t="shared" si="74"/>
        <v>747.73257251506709</v>
      </c>
      <c r="F835" s="7">
        <f t="shared" si="78"/>
        <v>2793393.2206136216</v>
      </c>
      <c r="G835" s="2">
        <f t="shared" si="75"/>
        <v>1664</v>
      </c>
      <c r="J835" s="2">
        <v>1495.4651450301342</v>
      </c>
      <c r="K835" s="2">
        <f t="shared" si="76"/>
        <v>-747.73257251506709</v>
      </c>
      <c r="L835" s="2">
        <f t="shared" si="77"/>
        <v>747.73257251506709</v>
      </c>
    </row>
    <row r="836" spans="1:12" x14ac:dyDescent="0.25">
      <c r="A836">
        <v>834</v>
      </c>
      <c r="B836" s="1">
        <v>1666</v>
      </c>
      <c r="C836" s="1">
        <v>1491.9034821328087</v>
      </c>
      <c r="D836">
        <f t="shared" ref="D836:D899" si="79">IF(A836&lt;=COUNT(B:B),-1*C836/2,NA())</f>
        <v>-745.95174106640434</v>
      </c>
      <c r="E836">
        <f t="shared" ref="E836:E899" si="80">IF(A836&lt;=COUNT(B:B),C836/2,NA())</f>
        <v>745.95174106640434</v>
      </c>
      <c r="F836" s="7">
        <f t="shared" si="78"/>
        <v>2796380.5892407848</v>
      </c>
      <c r="G836" s="2">
        <f t="shared" ref="G836:G899" si="81">B836-$B$3</f>
        <v>1666</v>
      </c>
      <c r="J836" s="2">
        <v>1491.9034821328087</v>
      </c>
      <c r="K836" s="2">
        <f t="shared" ref="K836:K899" si="82">IF(A836&lt;=COUNT(B:B),$J836/2*-1,NA())</f>
        <v>-745.95174106640434</v>
      </c>
      <c r="L836" s="2">
        <f t="shared" ref="L836:L899" si="83">IF(A836&lt;=COUNT(B:B),$J836/2,NA())</f>
        <v>745.95174106640434</v>
      </c>
    </row>
    <row r="837" spans="1:12" x14ac:dyDescent="0.25">
      <c r="A837">
        <v>835</v>
      </c>
      <c r="B837" s="1">
        <v>1668</v>
      </c>
      <c r="C837" s="1">
        <v>1488.322545686922</v>
      </c>
      <c r="D837">
        <f t="shared" si="79"/>
        <v>-744.16127284346101</v>
      </c>
      <c r="E837">
        <f t="shared" si="80"/>
        <v>744.16127284346101</v>
      </c>
      <c r="F837" s="7">
        <f t="shared" ref="F837:F900" si="84">IF(A836&lt;COUNT(B:B),(($C837+$C836)*(B837-B836)/2)+F836,"")</f>
        <v>2799360.8152686046</v>
      </c>
      <c r="G837" s="2">
        <f t="shared" si="81"/>
        <v>1668</v>
      </c>
      <c r="J837" s="2">
        <v>1488.322545686922</v>
      </c>
      <c r="K837" s="2">
        <f t="shared" si="82"/>
        <v>-744.16127284346101</v>
      </c>
      <c r="L837" s="2">
        <f t="shared" si="83"/>
        <v>744.16127284346101</v>
      </c>
    </row>
    <row r="838" spans="1:12" x14ac:dyDescent="0.25">
      <c r="A838">
        <v>836</v>
      </c>
      <c r="B838" s="1">
        <v>1670</v>
      </c>
      <c r="C838" s="1">
        <v>1484.7221962373972</v>
      </c>
      <c r="D838">
        <f t="shared" si="79"/>
        <v>-742.36109811869858</v>
      </c>
      <c r="E838">
        <f t="shared" si="80"/>
        <v>742.36109811869858</v>
      </c>
      <c r="F838" s="7">
        <f t="shared" si="84"/>
        <v>2802333.8600105289</v>
      </c>
      <c r="G838" s="2">
        <f t="shared" si="81"/>
        <v>1670</v>
      </c>
      <c r="J838" s="2">
        <v>1484.7221962373972</v>
      </c>
      <c r="K838" s="2">
        <f t="shared" si="82"/>
        <v>-742.36109811869858</v>
      </c>
      <c r="L838" s="2">
        <f t="shared" si="83"/>
        <v>742.36109811869858</v>
      </c>
    </row>
    <row r="839" spans="1:12" x14ac:dyDescent="0.25">
      <c r="A839">
        <v>837</v>
      </c>
      <c r="B839" s="1">
        <v>1672</v>
      </c>
      <c r="C839" s="1">
        <v>1481.1022922134716</v>
      </c>
      <c r="D839">
        <f t="shared" si="79"/>
        <v>-740.55114610673581</v>
      </c>
      <c r="E839">
        <f t="shared" si="80"/>
        <v>740.55114610673581</v>
      </c>
      <c r="F839" s="7">
        <f t="shared" si="84"/>
        <v>2805299.6844989797</v>
      </c>
      <c r="G839" s="2">
        <f t="shared" si="81"/>
        <v>1672</v>
      </c>
      <c r="J839" s="2">
        <v>1481.1022922134716</v>
      </c>
      <c r="K839" s="2">
        <f t="shared" si="82"/>
        <v>-740.55114610673581</v>
      </c>
      <c r="L839" s="2">
        <f t="shared" si="83"/>
        <v>740.55114610673581</v>
      </c>
    </row>
    <row r="840" spans="1:12" x14ac:dyDescent="0.25">
      <c r="A840">
        <v>838</v>
      </c>
      <c r="B840" s="1">
        <v>1674</v>
      </c>
      <c r="C840" s="1">
        <v>1477.4626898842489</v>
      </c>
      <c r="D840">
        <f t="shared" si="79"/>
        <v>-738.73134494212445</v>
      </c>
      <c r="E840">
        <f t="shared" si="80"/>
        <v>738.73134494212445</v>
      </c>
      <c r="F840" s="7">
        <f t="shared" si="84"/>
        <v>2808258.2494810773</v>
      </c>
      <c r="G840" s="2">
        <f t="shared" si="81"/>
        <v>1674</v>
      </c>
      <c r="J840" s="2">
        <v>1477.4626898842489</v>
      </c>
      <c r="K840" s="2">
        <f t="shared" si="82"/>
        <v>-738.73134494212445</v>
      </c>
      <c r="L840" s="2">
        <f t="shared" si="83"/>
        <v>738.73134494212445</v>
      </c>
    </row>
    <row r="841" spans="1:12" x14ac:dyDescent="0.25">
      <c r="A841">
        <v>839</v>
      </c>
      <c r="B841" s="1">
        <v>1676</v>
      </c>
      <c r="C841" s="1">
        <v>1473.8032433130279</v>
      </c>
      <c r="D841">
        <f t="shared" si="79"/>
        <v>-736.90162165651395</v>
      </c>
      <c r="E841">
        <f t="shared" si="80"/>
        <v>736.90162165651395</v>
      </c>
      <c r="F841" s="7">
        <f t="shared" si="84"/>
        <v>2811209.5154142748</v>
      </c>
      <c r="G841" s="2">
        <f t="shared" si="81"/>
        <v>1676</v>
      </c>
      <c r="J841" s="2">
        <v>1473.8032433130279</v>
      </c>
      <c r="K841" s="2">
        <f t="shared" si="82"/>
        <v>-736.90162165651395</v>
      </c>
      <c r="L841" s="2">
        <f t="shared" si="83"/>
        <v>736.90162165651395</v>
      </c>
    </row>
    <row r="842" spans="1:12" x14ac:dyDescent="0.25">
      <c r="A842">
        <v>840</v>
      </c>
      <c r="B842" s="1">
        <v>1678</v>
      </c>
      <c r="C842" s="1">
        <v>1470.1238043103717</v>
      </c>
      <c r="D842">
        <f t="shared" si="79"/>
        <v>-735.06190215518586</v>
      </c>
      <c r="E842">
        <f t="shared" si="80"/>
        <v>735.06190215518586</v>
      </c>
      <c r="F842" s="7">
        <f t="shared" si="84"/>
        <v>2814153.4424618981</v>
      </c>
      <c r="G842" s="2">
        <f t="shared" si="81"/>
        <v>1678</v>
      </c>
      <c r="J842" s="2">
        <v>1470.1238043103717</v>
      </c>
      <c r="K842" s="2">
        <f t="shared" si="82"/>
        <v>-735.06190215518586</v>
      </c>
      <c r="L842" s="2">
        <f t="shared" si="83"/>
        <v>735.06190215518586</v>
      </c>
    </row>
    <row r="843" spans="1:12" x14ac:dyDescent="0.25">
      <c r="A843">
        <v>841</v>
      </c>
      <c r="B843" s="1">
        <v>1680</v>
      </c>
      <c r="C843" s="1">
        <v>1466.4242223858687</v>
      </c>
      <c r="D843">
        <f t="shared" si="79"/>
        <v>-733.21211119293434</v>
      </c>
      <c r="E843">
        <f t="shared" si="80"/>
        <v>733.21211119293434</v>
      </c>
      <c r="F843" s="7">
        <f t="shared" si="84"/>
        <v>2817089.9904885944</v>
      </c>
      <c r="G843" s="2">
        <f t="shared" si="81"/>
        <v>1680</v>
      </c>
      <c r="J843" s="2">
        <v>1466.4242223858687</v>
      </c>
      <c r="K843" s="2">
        <f t="shared" si="82"/>
        <v>-733.21211119293434</v>
      </c>
      <c r="L843" s="2">
        <f t="shared" si="83"/>
        <v>733.21211119293434</v>
      </c>
    </row>
    <row r="844" spans="1:12" x14ac:dyDescent="0.25">
      <c r="A844">
        <v>842</v>
      </c>
      <c r="B844" s="1">
        <v>1682</v>
      </c>
      <c r="C844" s="1">
        <v>1462.7043446985451</v>
      </c>
      <c r="D844">
        <f t="shared" si="79"/>
        <v>-731.35217234927256</v>
      </c>
      <c r="E844">
        <f t="shared" si="80"/>
        <v>731.35217234927256</v>
      </c>
      <c r="F844" s="7">
        <f t="shared" si="84"/>
        <v>2820019.1190556786</v>
      </c>
      <c r="G844" s="2">
        <f t="shared" si="81"/>
        <v>1682</v>
      </c>
      <c r="J844" s="2">
        <v>1462.7043446985451</v>
      </c>
      <c r="K844" s="2">
        <f t="shared" si="82"/>
        <v>-731.35217234927256</v>
      </c>
      <c r="L844" s="2">
        <f t="shared" si="83"/>
        <v>731.35217234927256</v>
      </c>
    </row>
    <row r="845" spans="1:12" x14ac:dyDescent="0.25">
      <c r="A845">
        <v>843</v>
      </c>
      <c r="B845" s="1">
        <v>1684</v>
      </c>
      <c r="C845" s="1">
        <v>1458.964016005878</v>
      </c>
      <c r="D845">
        <f t="shared" si="79"/>
        <v>-729.48200800293898</v>
      </c>
      <c r="E845">
        <f t="shared" si="80"/>
        <v>729.48200800293898</v>
      </c>
      <c r="F845" s="7">
        <f t="shared" si="84"/>
        <v>2822940.7874163832</v>
      </c>
      <c r="G845" s="2">
        <f t="shared" si="81"/>
        <v>1684</v>
      </c>
      <c r="J845" s="2">
        <v>1458.964016005878</v>
      </c>
      <c r="K845" s="2">
        <f t="shared" si="82"/>
        <v>-729.48200800293898</v>
      </c>
      <c r="L845" s="2">
        <f t="shared" si="83"/>
        <v>729.48200800293898</v>
      </c>
    </row>
    <row r="846" spans="1:12" x14ac:dyDescent="0.25">
      <c r="A846">
        <v>844</v>
      </c>
      <c r="B846" s="1">
        <v>1686</v>
      </c>
      <c r="C846" s="1">
        <v>1455.2030786113669</v>
      </c>
      <c r="D846">
        <f t="shared" si="79"/>
        <v>-727.60153930568345</v>
      </c>
      <c r="E846">
        <f t="shared" si="80"/>
        <v>727.60153930568345</v>
      </c>
      <c r="F846" s="7">
        <f t="shared" si="84"/>
        <v>2825854.9545110003</v>
      </c>
      <c r="G846" s="2">
        <f t="shared" si="81"/>
        <v>1686</v>
      </c>
      <c r="J846" s="2">
        <v>1455.2030786113669</v>
      </c>
      <c r="K846" s="2">
        <f t="shared" si="82"/>
        <v>-727.60153930568345</v>
      </c>
      <c r="L846" s="2">
        <f t="shared" si="83"/>
        <v>727.60153930568345</v>
      </c>
    </row>
    <row r="847" spans="1:12" x14ac:dyDescent="0.25">
      <c r="A847">
        <v>845</v>
      </c>
      <c r="B847" s="1">
        <v>1688</v>
      </c>
      <c r="C847" s="1">
        <v>1451.421372310605</v>
      </c>
      <c r="D847">
        <f t="shared" si="79"/>
        <v>-725.71068615530248</v>
      </c>
      <c r="E847">
        <f t="shared" si="80"/>
        <v>725.71068615530248</v>
      </c>
      <c r="F847" s="7">
        <f t="shared" si="84"/>
        <v>2828761.5789619223</v>
      </c>
      <c r="G847" s="2">
        <f t="shared" si="81"/>
        <v>1688</v>
      </c>
      <c r="J847" s="2">
        <v>1451.421372310605</v>
      </c>
      <c r="K847" s="2">
        <f t="shared" si="82"/>
        <v>-725.71068615530248</v>
      </c>
      <c r="L847" s="2">
        <f t="shared" si="83"/>
        <v>725.71068615530248</v>
      </c>
    </row>
    <row r="848" spans="1:12" x14ac:dyDescent="0.25">
      <c r="A848">
        <v>846</v>
      </c>
      <c r="B848" s="1">
        <v>1690</v>
      </c>
      <c r="C848" s="1">
        <v>1447.6187343358058</v>
      </c>
      <c r="D848">
        <f t="shared" si="79"/>
        <v>-723.80936716790291</v>
      </c>
      <c r="E848">
        <f t="shared" si="80"/>
        <v>723.80936716790291</v>
      </c>
      <c r="F848" s="7">
        <f t="shared" si="84"/>
        <v>2831660.6190685686</v>
      </c>
      <c r="G848" s="2">
        <f t="shared" si="81"/>
        <v>1690</v>
      </c>
      <c r="J848" s="2">
        <v>1447.6187343358058</v>
      </c>
      <c r="K848" s="2">
        <f t="shared" si="82"/>
        <v>-723.80936716790291</v>
      </c>
      <c r="L848" s="2">
        <f t="shared" si="83"/>
        <v>723.80936716790291</v>
      </c>
    </row>
    <row r="849" spans="1:12" x14ac:dyDescent="0.25">
      <c r="A849">
        <v>847</v>
      </c>
      <c r="B849" s="1">
        <v>1692</v>
      </c>
      <c r="C849" s="1">
        <v>1443.7949992987233</v>
      </c>
      <c r="D849">
        <f t="shared" si="79"/>
        <v>-721.89749964936163</v>
      </c>
      <c r="E849">
        <f t="shared" si="80"/>
        <v>721.89749964936163</v>
      </c>
      <c r="F849" s="7">
        <f t="shared" si="84"/>
        <v>2834552.0328022032</v>
      </c>
      <c r="G849" s="2">
        <f t="shared" si="81"/>
        <v>1692</v>
      </c>
      <c r="J849" s="2">
        <v>1443.7949992987233</v>
      </c>
      <c r="K849" s="2">
        <f t="shared" si="82"/>
        <v>-721.89749964936163</v>
      </c>
      <c r="L849" s="2">
        <f t="shared" si="83"/>
        <v>721.89749964936163</v>
      </c>
    </row>
    <row r="850" spans="1:12" x14ac:dyDescent="0.25">
      <c r="A850">
        <v>848</v>
      </c>
      <c r="B850" s="1">
        <v>1694</v>
      </c>
      <c r="C850" s="1">
        <v>1439.9499991319144</v>
      </c>
      <c r="D850">
        <f t="shared" si="79"/>
        <v>-719.97499956595721</v>
      </c>
      <c r="E850">
        <f t="shared" si="80"/>
        <v>719.97499956595721</v>
      </c>
      <c r="F850" s="7">
        <f t="shared" si="84"/>
        <v>2837435.777800634</v>
      </c>
      <c r="G850" s="2">
        <f t="shared" si="81"/>
        <v>1694</v>
      </c>
      <c r="J850" s="2">
        <v>1439.9499991319144</v>
      </c>
      <c r="K850" s="2">
        <f t="shared" si="82"/>
        <v>-719.97499956595721</v>
      </c>
      <c r="L850" s="2">
        <f t="shared" si="83"/>
        <v>719.97499956595721</v>
      </c>
    </row>
    <row r="851" spans="1:12" x14ac:dyDescent="0.25">
      <c r="A851">
        <v>849</v>
      </c>
      <c r="B851" s="1">
        <v>1696</v>
      </c>
      <c r="C851" s="1">
        <v>1436.08356302828</v>
      </c>
      <c r="D851">
        <f t="shared" si="79"/>
        <v>-718.04178151413998</v>
      </c>
      <c r="E851">
        <f t="shared" si="80"/>
        <v>718.04178151413998</v>
      </c>
      <c r="F851" s="7">
        <f t="shared" si="84"/>
        <v>2840311.8113627941</v>
      </c>
      <c r="G851" s="2">
        <f t="shared" si="81"/>
        <v>1696</v>
      </c>
      <c r="J851" s="2">
        <v>1436.08356302828</v>
      </c>
      <c r="K851" s="2">
        <f t="shared" si="82"/>
        <v>-718.04178151413998</v>
      </c>
      <c r="L851" s="2">
        <f t="shared" si="83"/>
        <v>718.04178151413998</v>
      </c>
    </row>
    <row r="852" spans="1:12" x14ac:dyDescent="0.25">
      <c r="A852">
        <v>850</v>
      </c>
      <c r="B852" s="1">
        <v>1698</v>
      </c>
      <c r="C852" s="1">
        <v>1432.1955173788249</v>
      </c>
      <c r="D852">
        <f t="shared" si="79"/>
        <v>-716.09775868941244</v>
      </c>
      <c r="E852">
        <f t="shared" si="80"/>
        <v>716.09775868941244</v>
      </c>
      <c r="F852" s="7">
        <f t="shared" si="84"/>
        <v>2843180.0904432014</v>
      </c>
      <c r="G852" s="2">
        <f t="shared" si="81"/>
        <v>1698</v>
      </c>
      <c r="J852" s="2">
        <v>1432.1955173788249</v>
      </c>
      <c r="K852" s="2">
        <f t="shared" si="82"/>
        <v>-716.09775868941244</v>
      </c>
      <c r="L852" s="2">
        <f t="shared" si="83"/>
        <v>716.09775868941244</v>
      </c>
    </row>
    <row r="853" spans="1:12" x14ac:dyDescent="0.25">
      <c r="A853">
        <v>851</v>
      </c>
      <c r="B853" s="1">
        <v>1700</v>
      </c>
      <c r="C853" s="1">
        <v>1428.2856857085701</v>
      </c>
      <c r="D853">
        <f t="shared" si="79"/>
        <v>-714.14284285428505</v>
      </c>
      <c r="E853">
        <f t="shared" si="80"/>
        <v>714.14284285428505</v>
      </c>
      <c r="F853" s="7">
        <f t="shared" si="84"/>
        <v>2846040.571646289</v>
      </c>
      <c r="G853" s="2">
        <f t="shared" si="81"/>
        <v>1700</v>
      </c>
      <c r="J853" s="2">
        <v>1428.2856857085701</v>
      </c>
      <c r="K853" s="2">
        <f t="shared" si="82"/>
        <v>-714.14284285428505</v>
      </c>
      <c r="L853" s="2">
        <f t="shared" si="83"/>
        <v>714.14284285428505</v>
      </c>
    </row>
    <row r="854" spans="1:12" x14ac:dyDescent="0.25">
      <c r="A854">
        <v>852</v>
      </c>
      <c r="B854" s="1">
        <v>1702</v>
      </c>
      <c r="C854" s="1">
        <v>1424.3538886105516</v>
      </c>
      <c r="D854">
        <f t="shared" si="79"/>
        <v>-712.17694430527581</v>
      </c>
      <c r="E854">
        <f t="shared" si="80"/>
        <v>712.17694430527581</v>
      </c>
      <c r="F854" s="7">
        <f t="shared" si="84"/>
        <v>2848893.2112206081</v>
      </c>
      <c r="G854" s="2">
        <f t="shared" si="81"/>
        <v>1702</v>
      </c>
      <c r="J854" s="2">
        <v>1424.3538886105516</v>
      </c>
      <c r="K854" s="2">
        <f t="shared" si="82"/>
        <v>-712.17694430527581</v>
      </c>
      <c r="L854" s="2">
        <f t="shared" si="83"/>
        <v>712.17694430527581</v>
      </c>
    </row>
    <row r="855" spans="1:12" x14ac:dyDescent="0.25">
      <c r="A855">
        <v>853</v>
      </c>
      <c r="B855" s="1">
        <v>1704</v>
      </c>
      <c r="C855" s="1">
        <v>1420.3999436778361</v>
      </c>
      <c r="D855">
        <f t="shared" si="79"/>
        <v>-710.19997183891803</v>
      </c>
      <c r="E855">
        <f t="shared" si="80"/>
        <v>710.19997183891803</v>
      </c>
      <c r="F855" s="7">
        <f t="shared" si="84"/>
        <v>2851737.9650528966</v>
      </c>
      <c r="G855" s="2">
        <f t="shared" si="81"/>
        <v>1704</v>
      </c>
      <c r="J855" s="2">
        <v>1420.3999436778361</v>
      </c>
      <c r="K855" s="2">
        <f t="shared" si="82"/>
        <v>-710.19997183891803</v>
      </c>
      <c r="L855" s="2">
        <f t="shared" si="83"/>
        <v>710.19997183891803</v>
      </c>
    </row>
    <row r="856" spans="1:12" x14ac:dyDescent="0.25">
      <c r="A856">
        <v>854</v>
      </c>
      <c r="B856" s="1">
        <v>1706</v>
      </c>
      <c r="C856" s="1">
        <v>1416.4236654334748</v>
      </c>
      <c r="D856">
        <f t="shared" si="79"/>
        <v>-708.21183271673738</v>
      </c>
      <c r="E856">
        <f t="shared" si="80"/>
        <v>708.21183271673738</v>
      </c>
      <c r="F856" s="7">
        <f t="shared" si="84"/>
        <v>2854574.788662008</v>
      </c>
      <c r="G856" s="2">
        <f t="shared" si="81"/>
        <v>1706</v>
      </c>
      <c r="J856" s="2">
        <v>1416.4236654334748</v>
      </c>
      <c r="K856" s="2">
        <f t="shared" si="82"/>
        <v>-708.21183271673738</v>
      </c>
      <c r="L856" s="2">
        <f t="shared" si="83"/>
        <v>708.21183271673738</v>
      </c>
    </row>
    <row r="857" spans="1:12" x14ac:dyDescent="0.25">
      <c r="A857">
        <v>855</v>
      </c>
      <c r="B857" s="1">
        <v>1708</v>
      </c>
      <c r="C857" s="1">
        <v>1412.4248652583258</v>
      </c>
      <c r="D857">
        <f t="shared" si="79"/>
        <v>-706.21243262916289</v>
      </c>
      <c r="E857">
        <f t="shared" si="80"/>
        <v>706.21243262916289</v>
      </c>
      <c r="F857" s="7">
        <f t="shared" si="84"/>
        <v>2857403.6371926996</v>
      </c>
      <c r="G857" s="2">
        <f t="shared" si="81"/>
        <v>1708</v>
      </c>
      <c r="J857" s="2">
        <v>1412.4248652583258</v>
      </c>
      <c r="K857" s="2">
        <f t="shared" si="82"/>
        <v>-706.21243262916289</v>
      </c>
      <c r="L857" s="2">
        <f t="shared" si="83"/>
        <v>706.21243262916289</v>
      </c>
    </row>
    <row r="858" spans="1:12" x14ac:dyDescent="0.25">
      <c r="A858">
        <v>856</v>
      </c>
      <c r="B858" s="1">
        <v>1710</v>
      </c>
      <c r="C858" s="1">
        <v>1408.4033513166603</v>
      </c>
      <c r="D858">
        <f t="shared" si="79"/>
        <v>-704.20167565833015</v>
      </c>
      <c r="E858">
        <f t="shared" si="80"/>
        <v>704.20167565833015</v>
      </c>
      <c r="F858" s="7">
        <f t="shared" si="84"/>
        <v>2860224.4654092747</v>
      </c>
      <c r="G858" s="2">
        <f t="shared" si="81"/>
        <v>1710</v>
      </c>
      <c r="J858" s="2">
        <v>1408.4033513166603</v>
      </c>
      <c r="K858" s="2">
        <f t="shared" si="82"/>
        <v>-704.20167565833015</v>
      </c>
      <c r="L858" s="2">
        <f t="shared" si="83"/>
        <v>704.20167565833015</v>
      </c>
    </row>
    <row r="859" spans="1:12" x14ac:dyDescent="0.25">
      <c r="A859">
        <v>857</v>
      </c>
      <c r="B859" s="1">
        <v>1712</v>
      </c>
      <c r="C859" s="1">
        <v>1404.3589284794682</v>
      </c>
      <c r="D859">
        <f t="shared" si="79"/>
        <v>-702.1794642397341</v>
      </c>
      <c r="E859">
        <f t="shared" si="80"/>
        <v>702.1794642397341</v>
      </c>
      <c r="F859" s="7">
        <f t="shared" si="84"/>
        <v>2863037.2276890706</v>
      </c>
      <c r="G859" s="2">
        <f t="shared" si="81"/>
        <v>1712</v>
      </c>
      <c r="J859" s="2">
        <v>1404.3589284794682</v>
      </c>
      <c r="K859" s="2">
        <f t="shared" si="82"/>
        <v>-702.1794642397341</v>
      </c>
      <c r="L859" s="2">
        <f t="shared" si="83"/>
        <v>702.1794642397341</v>
      </c>
    </row>
    <row r="860" spans="1:12" x14ac:dyDescent="0.25">
      <c r="A860">
        <v>858</v>
      </c>
      <c r="B860" s="1">
        <v>1714</v>
      </c>
      <c r="C860" s="1">
        <v>1400.2913982453795</v>
      </c>
      <c r="D860">
        <f t="shared" si="79"/>
        <v>-700.14569912268973</v>
      </c>
      <c r="E860">
        <f t="shared" si="80"/>
        <v>700.14569912268973</v>
      </c>
      <c r="F860" s="7">
        <f t="shared" si="84"/>
        <v>2865841.8780157953</v>
      </c>
      <c r="G860" s="2">
        <f t="shared" si="81"/>
        <v>1714</v>
      </c>
      <c r="J860" s="2">
        <v>1400.2913982453795</v>
      </c>
      <c r="K860" s="2">
        <f t="shared" si="82"/>
        <v>-700.14569912268973</v>
      </c>
      <c r="L860" s="2">
        <f t="shared" si="83"/>
        <v>700.14569912268973</v>
      </c>
    </row>
    <row r="861" spans="1:12" x14ac:dyDescent="0.25">
      <c r="A861">
        <v>859</v>
      </c>
      <c r="B861" s="1">
        <v>1716</v>
      </c>
      <c r="C861" s="1">
        <v>1396.200558659106</v>
      </c>
      <c r="D861">
        <f t="shared" si="79"/>
        <v>-698.10027932955302</v>
      </c>
      <c r="E861">
        <f t="shared" si="80"/>
        <v>698.10027932955302</v>
      </c>
      <c r="F861" s="7">
        <f t="shared" si="84"/>
        <v>2868638.3699726998</v>
      </c>
      <c r="G861" s="2">
        <f t="shared" si="81"/>
        <v>1716</v>
      </c>
      <c r="J861" s="2">
        <v>1396.200558659106</v>
      </c>
      <c r="K861" s="2">
        <f t="shared" si="82"/>
        <v>-698.10027932955302</v>
      </c>
      <c r="L861" s="2">
        <f t="shared" si="83"/>
        <v>698.10027932955302</v>
      </c>
    </row>
    <row r="862" spans="1:12" x14ac:dyDescent="0.25">
      <c r="A862">
        <v>860</v>
      </c>
      <c r="B862" s="1">
        <v>1718</v>
      </c>
      <c r="C862" s="1">
        <v>1392.08620422731</v>
      </c>
      <c r="D862">
        <f t="shared" si="79"/>
        <v>-696.04310211365498</v>
      </c>
      <c r="E862">
        <f t="shared" si="80"/>
        <v>696.04310211365498</v>
      </c>
      <c r="F862" s="7">
        <f t="shared" si="84"/>
        <v>2871426.656735586</v>
      </c>
      <c r="G862" s="2">
        <f t="shared" si="81"/>
        <v>1718</v>
      </c>
      <c r="J862" s="2">
        <v>1392.08620422731</v>
      </c>
      <c r="K862" s="2">
        <f t="shared" si="82"/>
        <v>-696.04310211365498</v>
      </c>
      <c r="L862" s="2">
        <f t="shared" si="83"/>
        <v>696.04310211365498</v>
      </c>
    </row>
    <row r="863" spans="1:12" x14ac:dyDescent="0.25">
      <c r="A863">
        <v>861</v>
      </c>
      <c r="B863" s="1">
        <v>1720</v>
      </c>
      <c r="C863" s="1">
        <v>1387.9481258317978</v>
      </c>
      <c r="D863">
        <f t="shared" si="79"/>
        <v>-693.97406291589891</v>
      </c>
      <c r="E863">
        <f t="shared" si="80"/>
        <v>693.97406291589891</v>
      </c>
      <c r="F863" s="7">
        <f t="shared" si="84"/>
        <v>2874206.6910656453</v>
      </c>
      <c r="G863" s="2">
        <f t="shared" si="81"/>
        <v>1720</v>
      </c>
      <c r="J863" s="2">
        <v>1387.9481258317978</v>
      </c>
      <c r="K863" s="2">
        <f t="shared" si="82"/>
        <v>-693.97406291589891</v>
      </c>
      <c r="L863" s="2">
        <f t="shared" si="83"/>
        <v>693.97406291589891</v>
      </c>
    </row>
    <row r="864" spans="1:12" x14ac:dyDescent="0.25">
      <c r="A864">
        <v>862</v>
      </c>
      <c r="B864" s="1">
        <v>1722</v>
      </c>
      <c r="C864" s="1">
        <v>1383.7861106399355</v>
      </c>
      <c r="D864">
        <f t="shared" si="79"/>
        <v>-691.89305531996774</v>
      </c>
      <c r="E864">
        <f t="shared" si="80"/>
        <v>691.89305531996774</v>
      </c>
      <c r="F864" s="7">
        <f t="shared" si="84"/>
        <v>2876978.4253021171</v>
      </c>
      <c r="G864" s="2">
        <f t="shared" si="81"/>
        <v>1722</v>
      </c>
      <c r="J864" s="2">
        <v>1383.7861106399355</v>
      </c>
      <c r="K864" s="2">
        <f t="shared" si="82"/>
        <v>-691.89305531996774</v>
      </c>
      <c r="L864" s="2">
        <f t="shared" si="83"/>
        <v>691.89305531996774</v>
      </c>
    </row>
    <row r="865" spans="1:12" x14ac:dyDescent="0.25">
      <c r="A865">
        <v>863</v>
      </c>
      <c r="B865" s="1">
        <v>1724</v>
      </c>
      <c r="C865" s="1">
        <v>1379.5999420121761</v>
      </c>
      <c r="D865">
        <f t="shared" si="79"/>
        <v>-689.79997100608807</v>
      </c>
      <c r="E865">
        <f t="shared" si="80"/>
        <v>689.79997100608807</v>
      </c>
      <c r="F865" s="7">
        <f t="shared" si="84"/>
        <v>2879741.8113547694</v>
      </c>
      <c r="G865" s="2">
        <f t="shared" si="81"/>
        <v>1724</v>
      </c>
      <c r="J865" s="2">
        <v>1379.5999420121761</v>
      </c>
      <c r="K865" s="2">
        <f t="shared" si="82"/>
        <v>-689.79997100608807</v>
      </c>
      <c r="L865" s="2">
        <f t="shared" si="83"/>
        <v>689.79997100608807</v>
      </c>
    </row>
    <row r="866" spans="1:12" x14ac:dyDescent="0.25">
      <c r="A866">
        <v>864</v>
      </c>
      <c r="B866" s="1">
        <v>1726</v>
      </c>
      <c r="C866" s="1">
        <v>1375.3893994065827</v>
      </c>
      <c r="D866">
        <f t="shared" si="79"/>
        <v>-687.69469970329135</v>
      </c>
      <c r="E866">
        <f t="shared" si="80"/>
        <v>687.69469970329135</v>
      </c>
      <c r="F866" s="7">
        <f t="shared" si="84"/>
        <v>2882496.8006961881</v>
      </c>
      <c r="G866" s="2">
        <f t="shared" si="81"/>
        <v>1726</v>
      </c>
      <c r="J866" s="2">
        <v>1375.3893994065827</v>
      </c>
      <c r="K866" s="2">
        <f t="shared" si="82"/>
        <v>-687.69469970329135</v>
      </c>
      <c r="L866" s="2">
        <f t="shared" si="83"/>
        <v>687.69469970329135</v>
      </c>
    </row>
    <row r="867" spans="1:12" x14ac:dyDescent="0.25">
      <c r="A867">
        <v>865</v>
      </c>
      <c r="B867" s="1">
        <v>1728</v>
      </c>
      <c r="C867" s="1">
        <v>1371.1542582802272</v>
      </c>
      <c r="D867">
        <f t="shared" si="79"/>
        <v>-685.57712914011358</v>
      </c>
      <c r="E867">
        <f t="shared" si="80"/>
        <v>685.57712914011358</v>
      </c>
      <c r="F867" s="7">
        <f t="shared" si="84"/>
        <v>2885243.3443538751</v>
      </c>
      <c r="G867" s="2">
        <f t="shared" si="81"/>
        <v>1728</v>
      </c>
      <c r="J867" s="2">
        <v>1371.1542582802272</v>
      </c>
      <c r="K867" s="2">
        <f t="shared" si="82"/>
        <v>-685.57712914011358</v>
      </c>
      <c r="L867" s="2">
        <f t="shared" si="83"/>
        <v>685.57712914011358</v>
      </c>
    </row>
    <row r="868" spans="1:12" x14ac:dyDescent="0.25">
      <c r="A868">
        <v>866</v>
      </c>
      <c r="B868" s="1">
        <v>1730</v>
      </c>
      <c r="C868" s="1">
        <v>1366.8942899873421</v>
      </c>
      <c r="D868">
        <f t="shared" si="79"/>
        <v>-683.44714499367103</v>
      </c>
      <c r="E868">
        <f t="shared" si="80"/>
        <v>683.44714499367103</v>
      </c>
      <c r="F868" s="7">
        <f t="shared" si="84"/>
        <v>2887981.3929021428</v>
      </c>
      <c r="G868" s="2">
        <f t="shared" si="81"/>
        <v>1730</v>
      </c>
      <c r="J868" s="2">
        <v>1366.8942899873421</v>
      </c>
      <c r="K868" s="2">
        <f t="shared" si="82"/>
        <v>-683.44714499367103</v>
      </c>
      <c r="L868" s="2">
        <f t="shared" si="83"/>
        <v>683.44714499367103</v>
      </c>
    </row>
    <row r="869" spans="1:12" x14ac:dyDescent="0.25">
      <c r="A869">
        <v>867</v>
      </c>
      <c r="B869" s="1">
        <v>1732</v>
      </c>
      <c r="C869" s="1">
        <v>1362.6092616740868</v>
      </c>
      <c r="D869">
        <f t="shared" si="79"/>
        <v>-681.30463083704342</v>
      </c>
      <c r="E869">
        <f t="shared" si="80"/>
        <v>681.30463083704342</v>
      </c>
      <c r="F869" s="7">
        <f t="shared" si="84"/>
        <v>2890710.8964538043</v>
      </c>
      <c r="G869" s="2">
        <f t="shared" si="81"/>
        <v>1732</v>
      </c>
      <c r="J869" s="2">
        <v>1362.6092616740868</v>
      </c>
      <c r="K869" s="2">
        <f t="shared" si="82"/>
        <v>-681.30463083704342</v>
      </c>
      <c r="L869" s="2">
        <f t="shared" si="83"/>
        <v>681.30463083704342</v>
      </c>
    </row>
    <row r="870" spans="1:12" x14ac:dyDescent="0.25">
      <c r="A870">
        <v>868</v>
      </c>
      <c r="B870" s="1">
        <v>1734</v>
      </c>
      <c r="C870" s="1">
        <v>1358.2989361697962</v>
      </c>
      <c r="D870">
        <f t="shared" si="79"/>
        <v>-679.1494680848981</v>
      </c>
      <c r="E870">
        <f t="shared" si="80"/>
        <v>679.1494680848981</v>
      </c>
      <c r="F870" s="7">
        <f t="shared" si="84"/>
        <v>2893431.8046516483</v>
      </c>
      <c r="G870" s="2">
        <f t="shared" si="81"/>
        <v>1734</v>
      </c>
      <c r="J870" s="2">
        <v>1358.2989361697962</v>
      </c>
      <c r="K870" s="2">
        <f t="shared" si="82"/>
        <v>-679.1494680848981</v>
      </c>
      <c r="L870" s="2">
        <f t="shared" si="83"/>
        <v>679.1494680848981</v>
      </c>
    </row>
    <row r="871" spans="1:12" x14ac:dyDescent="0.25">
      <c r="A871">
        <v>869</v>
      </c>
      <c r="B871" s="1">
        <v>1736</v>
      </c>
      <c r="C871" s="1">
        <v>1353.9630718745618</v>
      </c>
      <c r="D871">
        <f t="shared" si="79"/>
        <v>-676.98153593728091</v>
      </c>
      <c r="E871">
        <f t="shared" si="80"/>
        <v>676.98153593728091</v>
      </c>
      <c r="F871" s="7">
        <f t="shared" si="84"/>
        <v>2896144.0666596927</v>
      </c>
      <c r="G871" s="2">
        <f t="shared" si="81"/>
        <v>1736</v>
      </c>
      <c r="J871" s="2">
        <v>1353.9630718745618</v>
      </c>
      <c r="K871" s="2">
        <f t="shared" si="82"/>
        <v>-676.98153593728091</v>
      </c>
      <c r="L871" s="2">
        <f t="shared" si="83"/>
        <v>676.98153593728091</v>
      </c>
    </row>
    <row r="872" spans="1:12" x14ac:dyDescent="0.25">
      <c r="A872">
        <v>870</v>
      </c>
      <c r="B872" s="1">
        <v>1738</v>
      </c>
      <c r="C872" s="1">
        <v>1349.6014226429966</v>
      </c>
      <c r="D872">
        <f t="shared" si="79"/>
        <v>-674.80071132149828</v>
      </c>
      <c r="E872">
        <f t="shared" si="80"/>
        <v>674.80071132149828</v>
      </c>
      <c r="F872" s="7">
        <f t="shared" si="84"/>
        <v>2898847.6311542103</v>
      </c>
      <c r="G872" s="2">
        <f t="shared" si="81"/>
        <v>1738</v>
      </c>
      <c r="J872" s="2">
        <v>1349.6014226429966</v>
      </c>
      <c r="K872" s="2">
        <f t="shared" si="82"/>
        <v>-674.80071132149828</v>
      </c>
      <c r="L872" s="2">
        <f t="shared" si="83"/>
        <v>674.80071132149828</v>
      </c>
    </row>
    <row r="873" spans="1:12" x14ac:dyDescent="0.25">
      <c r="A873">
        <v>871</v>
      </c>
      <c r="B873" s="1">
        <v>1740</v>
      </c>
      <c r="C873" s="1">
        <v>1345.2137376640189</v>
      </c>
      <c r="D873">
        <f t="shared" si="79"/>
        <v>-672.60686883200947</v>
      </c>
      <c r="E873">
        <f t="shared" si="80"/>
        <v>672.60686883200947</v>
      </c>
      <c r="F873" s="7">
        <f t="shared" si="84"/>
        <v>2901542.4463145174</v>
      </c>
      <c r="G873" s="2">
        <f t="shared" si="81"/>
        <v>1740</v>
      </c>
      <c r="J873" s="2">
        <v>1345.2137376640189</v>
      </c>
      <c r="K873" s="2">
        <f t="shared" si="82"/>
        <v>-672.60686883200947</v>
      </c>
      <c r="L873" s="2">
        <f t="shared" si="83"/>
        <v>672.60686883200947</v>
      </c>
    </row>
    <row r="874" spans="1:12" x14ac:dyDescent="0.25">
      <c r="A874">
        <v>872</v>
      </c>
      <c r="B874" s="1">
        <v>1742</v>
      </c>
      <c r="C874" s="1">
        <v>1340.7997613364944</v>
      </c>
      <c r="D874">
        <f t="shared" si="79"/>
        <v>-670.39988066824719</v>
      </c>
      <c r="E874">
        <f t="shared" si="80"/>
        <v>670.39988066824719</v>
      </c>
      <c r="F874" s="7">
        <f t="shared" si="84"/>
        <v>2904228.459813518</v>
      </c>
      <c r="G874" s="2">
        <f t="shared" si="81"/>
        <v>1742</v>
      </c>
      <c r="J874" s="2">
        <v>1340.7997613364944</v>
      </c>
      <c r="K874" s="2">
        <f t="shared" si="82"/>
        <v>-670.39988066824719</v>
      </c>
      <c r="L874" s="2">
        <f t="shared" si="83"/>
        <v>670.39988066824719</v>
      </c>
    </row>
    <row r="875" spans="1:12" x14ac:dyDescent="0.25">
      <c r="A875">
        <v>873</v>
      </c>
      <c r="B875" s="1">
        <v>1744</v>
      </c>
      <c r="C875" s="1">
        <v>1336.3592331405505</v>
      </c>
      <c r="D875">
        <f t="shared" si="79"/>
        <v>-668.17961657027524</v>
      </c>
      <c r="E875">
        <f t="shared" si="80"/>
        <v>668.17961657027524</v>
      </c>
      <c r="F875" s="7">
        <f t="shared" si="84"/>
        <v>2906905.6188079952</v>
      </c>
      <c r="G875" s="2">
        <f t="shared" si="81"/>
        <v>1744</v>
      </c>
      <c r="J875" s="2">
        <v>1336.3592331405505</v>
      </c>
      <c r="K875" s="2">
        <f t="shared" si="82"/>
        <v>-668.17961657027524</v>
      </c>
      <c r="L875" s="2">
        <f t="shared" si="83"/>
        <v>668.17961657027524</v>
      </c>
    </row>
    <row r="876" spans="1:12" x14ac:dyDescent="0.25">
      <c r="A876">
        <v>874</v>
      </c>
      <c r="B876" s="1">
        <v>1746</v>
      </c>
      <c r="C876" s="1">
        <v>1331.8918875043876</v>
      </c>
      <c r="D876">
        <f t="shared" si="79"/>
        <v>-665.94594375219378</v>
      </c>
      <c r="E876">
        <f t="shared" si="80"/>
        <v>665.94594375219378</v>
      </c>
      <c r="F876" s="7">
        <f t="shared" si="84"/>
        <v>2909573.8699286403</v>
      </c>
      <c r="G876" s="2">
        <f t="shared" si="81"/>
        <v>1746</v>
      </c>
      <c r="J876" s="2">
        <v>1331.8918875043876</v>
      </c>
      <c r="K876" s="2">
        <f t="shared" si="82"/>
        <v>-665.94594375219378</v>
      </c>
      <c r="L876" s="2">
        <f t="shared" si="83"/>
        <v>665.94594375219378</v>
      </c>
    </row>
    <row r="877" spans="1:12" x14ac:dyDescent="0.25">
      <c r="A877">
        <v>875</v>
      </c>
      <c r="B877" s="1">
        <v>1748</v>
      </c>
      <c r="C877" s="1">
        <v>1327.3974536663841</v>
      </c>
      <c r="D877">
        <f t="shared" si="79"/>
        <v>-663.69872683319204</v>
      </c>
      <c r="E877">
        <f t="shared" si="80"/>
        <v>663.69872683319204</v>
      </c>
      <c r="F877" s="7">
        <f t="shared" si="84"/>
        <v>2912233.1592698111</v>
      </c>
      <c r="G877" s="2">
        <f t="shared" si="81"/>
        <v>1748</v>
      </c>
      <c r="J877" s="2">
        <v>1327.3974536663841</v>
      </c>
      <c r="K877" s="2">
        <f t="shared" si="82"/>
        <v>-663.69872683319204</v>
      </c>
      <c r="L877" s="2">
        <f t="shared" si="83"/>
        <v>663.69872683319204</v>
      </c>
    </row>
    <row r="878" spans="1:12" x14ac:dyDescent="0.25">
      <c r="A878">
        <v>876</v>
      </c>
      <c r="B878" s="1">
        <v>1750</v>
      </c>
      <c r="C878" s="1">
        <v>1322.8756555322952</v>
      </c>
      <c r="D878">
        <f t="shared" si="79"/>
        <v>-661.43782776614762</v>
      </c>
      <c r="E878">
        <f t="shared" si="80"/>
        <v>661.43782776614762</v>
      </c>
      <c r="F878" s="7">
        <f t="shared" si="84"/>
        <v>2914883.4323790097</v>
      </c>
      <c r="G878" s="2">
        <f t="shared" si="81"/>
        <v>1750</v>
      </c>
      <c r="J878" s="2">
        <v>1322.8756555322952</v>
      </c>
      <c r="K878" s="2">
        <f t="shared" si="82"/>
        <v>-661.43782776614762</v>
      </c>
      <c r="L878" s="2">
        <f t="shared" si="83"/>
        <v>661.43782776614762</v>
      </c>
    </row>
    <row r="879" spans="1:12" x14ac:dyDescent="0.25">
      <c r="A879">
        <v>877</v>
      </c>
      <c r="B879" s="1">
        <v>1752</v>
      </c>
      <c r="C879" s="1">
        <v>1318.3262115273292</v>
      </c>
      <c r="D879">
        <f t="shared" si="79"/>
        <v>-659.16310576366459</v>
      </c>
      <c r="E879">
        <f t="shared" si="80"/>
        <v>659.16310576366459</v>
      </c>
      <c r="F879" s="7">
        <f t="shared" si="84"/>
        <v>2917524.6342460695</v>
      </c>
      <c r="G879" s="2">
        <f t="shared" si="81"/>
        <v>1752</v>
      </c>
      <c r="J879" s="2">
        <v>1318.3262115273292</v>
      </c>
      <c r="K879" s="2">
        <f t="shared" si="82"/>
        <v>-659.16310576366459</v>
      </c>
      <c r="L879" s="2">
        <f t="shared" si="83"/>
        <v>659.16310576366459</v>
      </c>
    </row>
    <row r="880" spans="1:12" x14ac:dyDescent="0.25">
      <c r="A880">
        <v>878</v>
      </c>
      <c r="B880" s="1">
        <v>1754</v>
      </c>
      <c r="C880" s="1">
        <v>1313.7488344428702</v>
      </c>
      <c r="D880">
        <f t="shared" si="79"/>
        <v>-656.87441722143512</v>
      </c>
      <c r="E880">
        <f t="shared" si="80"/>
        <v>656.87441722143512</v>
      </c>
      <c r="F880" s="7">
        <f t="shared" si="84"/>
        <v>2920156.7092920397</v>
      </c>
      <c r="G880" s="2">
        <f t="shared" si="81"/>
        <v>1754</v>
      </c>
      <c r="J880" s="2">
        <v>1313.7488344428702</v>
      </c>
      <c r="K880" s="2">
        <f t="shared" si="82"/>
        <v>-656.87441722143512</v>
      </c>
      <c r="L880" s="2">
        <f t="shared" si="83"/>
        <v>656.87441722143512</v>
      </c>
    </row>
    <row r="881" spans="1:12" x14ac:dyDescent="0.25">
      <c r="A881">
        <v>879</v>
      </c>
      <c r="B881" s="1">
        <v>1756</v>
      </c>
      <c r="C881" s="1">
        <v>1309.1432312776169</v>
      </c>
      <c r="D881">
        <f t="shared" si="79"/>
        <v>-654.57161563880845</v>
      </c>
      <c r="E881">
        <f t="shared" si="80"/>
        <v>654.57161563880845</v>
      </c>
      <c r="F881" s="7">
        <f t="shared" si="84"/>
        <v>2922779.6013577604</v>
      </c>
      <c r="G881" s="2">
        <f t="shared" si="81"/>
        <v>1756</v>
      </c>
      <c r="J881" s="2">
        <v>1309.1432312776169</v>
      </c>
      <c r="K881" s="2">
        <f t="shared" si="82"/>
        <v>-654.57161563880845</v>
      </c>
      <c r="L881" s="2">
        <f t="shared" si="83"/>
        <v>654.57161563880845</v>
      </c>
    </row>
    <row r="882" spans="1:12" x14ac:dyDescent="0.25">
      <c r="A882">
        <v>880</v>
      </c>
      <c r="B882" s="1">
        <v>1758</v>
      </c>
      <c r="C882" s="1">
        <v>1304.5091030728763</v>
      </c>
      <c r="D882">
        <f t="shared" si="79"/>
        <v>-652.25455153643816</v>
      </c>
      <c r="E882">
        <f t="shared" si="80"/>
        <v>652.25455153643816</v>
      </c>
      <c r="F882" s="7">
        <f t="shared" si="84"/>
        <v>2925393.253692111</v>
      </c>
      <c r="G882" s="2">
        <f t="shared" si="81"/>
        <v>1758</v>
      </c>
      <c r="J882" s="2">
        <v>1304.5091030728763</v>
      </c>
      <c r="K882" s="2">
        <f t="shared" si="82"/>
        <v>-652.25455153643816</v>
      </c>
      <c r="L882" s="2">
        <f t="shared" si="83"/>
        <v>652.25455153643816</v>
      </c>
    </row>
    <row r="883" spans="1:12" x14ac:dyDescent="0.25">
      <c r="A883">
        <v>881</v>
      </c>
      <c r="B883" s="1">
        <v>1760</v>
      </c>
      <c r="C883" s="1">
        <v>1299.8461447417537</v>
      </c>
      <c r="D883">
        <f t="shared" si="79"/>
        <v>-649.92307237087687</v>
      </c>
      <c r="E883">
        <f t="shared" si="80"/>
        <v>649.92307237087687</v>
      </c>
      <c r="F883" s="7">
        <f t="shared" si="84"/>
        <v>2927997.6089399257</v>
      </c>
      <c r="G883" s="2">
        <f t="shared" si="81"/>
        <v>1760</v>
      </c>
      <c r="J883" s="2">
        <v>1299.8461447417537</v>
      </c>
      <c r="K883" s="2">
        <f t="shared" si="82"/>
        <v>-649.92307237087687</v>
      </c>
      <c r="L883" s="2">
        <f t="shared" si="83"/>
        <v>649.92307237087687</v>
      </c>
    </row>
    <row r="884" spans="1:12" x14ac:dyDescent="0.25">
      <c r="A884">
        <v>882</v>
      </c>
      <c r="B884" s="1">
        <v>1762</v>
      </c>
      <c r="C884" s="1">
        <v>1295.1540448919579</v>
      </c>
      <c r="D884">
        <f t="shared" si="79"/>
        <v>-647.57702244597897</v>
      </c>
      <c r="E884">
        <f t="shared" si="80"/>
        <v>647.57702244597897</v>
      </c>
      <c r="F884" s="7">
        <f t="shared" si="84"/>
        <v>2930592.6091295592</v>
      </c>
      <c r="G884" s="2">
        <f t="shared" si="81"/>
        <v>1762</v>
      </c>
      <c r="J884" s="2">
        <v>1295.1540448919579</v>
      </c>
      <c r="K884" s="2">
        <f t="shared" si="82"/>
        <v>-647.57702244597897</v>
      </c>
      <c r="L884" s="2">
        <f t="shared" si="83"/>
        <v>647.57702244597897</v>
      </c>
    </row>
    <row r="885" spans="1:12" x14ac:dyDescent="0.25">
      <c r="A885">
        <v>883</v>
      </c>
      <c r="B885" s="1">
        <v>1764</v>
      </c>
      <c r="C885" s="1">
        <v>1290.4324856419262</v>
      </c>
      <c r="D885">
        <f t="shared" si="79"/>
        <v>-645.21624282096309</v>
      </c>
      <c r="E885">
        <f t="shared" si="80"/>
        <v>645.21624282096309</v>
      </c>
      <c r="F885" s="7">
        <f t="shared" si="84"/>
        <v>2933178.1956600933</v>
      </c>
      <c r="G885" s="2">
        <f t="shared" si="81"/>
        <v>1764</v>
      </c>
      <c r="J885" s="2">
        <v>1290.4324856419262</v>
      </c>
      <c r="K885" s="2">
        <f t="shared" si="82"/>
        <v>-645.21624282096309</v>
      </c>
      <c r="L885" s="2">
        <f t="shared" si="83"/>
        <v>645.21624282096309</v>
      </c>
    </row>
    <row r="886" spans="1:12" x14ac:dyDescent="0.25">
      <c r="A886">
        <v>884</v>
      </c>
      <c r="B886" s="1">
        <v>1766</v>
      </c>
      <c r="C886" s="1">
        <v>1285.6811424299572</v>
      </c>
      <c r="D886">
        <f t="shared" si="79"/>
        <v>-642.84057121497858</v>
      </c>
      <c r="E886">
        <f t="shared" si="80"/>
        <v>642.84057121497858</v>
      </c>
      <c r="F886" s="7">
        <f t="shared" si="84"/>
        <v>2935754.3092881651</v>
      </c>
      <c r="G886" s="2">
        <f t="shared" si="81"/>
        <v>1766</v>
      </c>
      <c r="J886" s="2">
        <v>1285.6811424299572</v>
      </c>
      <c r="K886" s="2">
        <f t="shared" si="82"/>
        <v>-642.84057121497858</v>
      </c>
      <c r="L886" s="2">
        <f t="shared" si="83"/>
        <v>642.84057121497858</v>
      </c>
    </row>
    <row r="887" spans="1:12" x14ac:dyDescent="0.25">
      <c r="A887">
        <v>885</v>
      </c>
      <c r="B887" s="1">
        <v>1768</v>
      </c>
      <c r="C887" s="1">
        <v>1280.8996838160278</v>
      </c>
      <c r="D887">
        <f t="shared" si="79"/>
        <v>-640.44984190801392</v>
      </c>
      <c r="E887">
        <f t="shared" si="80"/>
        <v>640.44984190801392</v>
      </c>
      <c r="F887" s="7">
        <f t="shared" si="84"/>
        <v>2938320.8901144112</v>
      </c>
      <c r="G887" s="2">
        <f t="shared" si="81"/>
        <v>1768</v>
      </c>
      <c r="J887" s="2">
        <v>1280.8996838160278</v>
      </c>
      <c r="K887" s="2">
        <f t="shared" si="82"/>
        <v>-640.44984190801392</v>
      </c>
      <c r="L887" s="2">
        <f t="shared" si="83"/>
        <v>640.44984190801392</v>
      </c>
    </row>
    <row r="888" spans="1:12" x14ac:dyDescent="0.25">
      <c r="A888">
        <v>886</v>
      </c>
      <c r="B888" s="1">
        <v>1770</v>
      </c>
      <c r="C888" s="1">
        <v>1276.0877712759416</v>
      </c>
      <c r="D888">
        <f t="shared" si="79"/>
        <v>-638.04388563797079</v>
      </c>
      <c r="E888">
        <f t="shared" si="80"/>
        <v>638.04388563797079</v>
      </c>
      <c r="F888" s="7">
        <f t="shared" si="84"/>
        <v>2940877.8775695032</v>
      </c>
      <c r="G888" s="2">
        <f t="shared" si="81"/>
        <v>1770</v>
      </c>
      <c r="J888" s="2">
        <v>1276.0877712759416</v>
      </c>
      <c r="K888" s="2">
        <f t="shared" si="82"/>
        <v>-638.04388563797079</v>
      </c>
      <c r="L888" s="2">
        <f t="shared" si="83"/>
        <v>638.04388563797079</v>
      </c>
    </row>
    <row r="889" spans="1:12" x14ac:dyDescent="0.25">
      <c r="A889">
        <v>887</v>
      </c>
      <c r="B889" s="1">
        <v>1772</v>
      </c>
      <c r="C889" s="1">
        <v>1271.2450589874479</v>
      </c>
      <c r="D889">
        <f t="shared" si="79"/>
        <v>-635.62252949372396</v>
      </c>
      <c r="E889">
        <f t="shared" si="80"/>
        <v>635.62252949372396</v>
      </c>
      <c r="F889" s="7">
        <f t="shared" si="84"/>
        <v>2943425.2103997665</v>
      </c>
      <c r="G889" s="2">
        <f t="shared" si="81"/>
        <v>1772</v>
      </c>
      <c r="J889" s="2">
        <v>1271.2450589874479</v>
      </c>
      <c r="K889" s="2">
        <f t="shared" si="82"/>
        <v>-635.62252949372396</v>
      </c>
      <c r="L889" s="2">
        <f t="shared" si="83"/>
        <v>635.62252949372396</v>
      </c>
    </row>
    <row r="890" spans="1:12" x14ac:dyDescent="0.25">
      <c r="A890">
        <v>888</v>
      </c>
      <c r="B890" s="1">
        <v>1774</v>
      </c>
      <c r="C890" s="1">
        <v>1266.3711936079405</v>
      </c>
      <c r="D890">
        <f t="shared" si="79"/>
        <v>-633.18559680397027</v>
      </c>
      <c r="E890">
        <f t="shared" si="80"/>
        <v>633.18559680397027</v>
      </c>
      <c r="F890" s="7">
        <f t="shared" si="84"/>
        <v>2945962.826652362</v>
      </c>
      <c r="G890" s="2">
        <f t="shared" si="81"/>
        <v>1774</v>
      </c>
      <c r="J890" s="2">
        <v>1266.3711936079405</v>
      </c>
      <c r="K890" s="2">
        <f t="shared" si="82"/>
        <v>-633.18559680397027</v>
      </c>
      <c r="L890" s="2">
        <f t="shared" si="83"/>
        <v>633.18559680397027</v>
      </c>
    </row>
    <row r="891" spans="1:12" x14ac:dyDescent="0.25">
      <c r="A891">
        <v>889</v>
      </c>
      <c r="B891" s="1">
        <v>1776</v>
      </c>
      <c r="C891" s="1">
        <v>1261.4658140433296</v>
      </c>
      <c r="D891">
        <f t="shared" si="79"/>
        <v>-630.7329070216648</v>
      </c>
      <c r="E891">
        <f t="shared" si="80"/>
        <v>630.7329070216648</v>
      </c>
      <c r="F891" s="7">
        <f t="shared" si="84"/>
        <v>2948490.6636600131</v>
      </c>
      <c r="G891" s="2">
        <f t="shared" si="81"/>
        <v>1776</v>
      </c>
      <c r="J891" s="2">
        <v>1261.4658140433296</v>
      </c>
      <c r="K891" s="2">
        <f t="shared" si="82"/>
        <v>-630.7329070216648</v>
      </c>
      <c r="L891" s="2">
        <f t="shared" si="83"/>
        <v>630.7329070216648</v>
      </c>
    </row>
    <row r="892" spans="1:12" x14ac:dyDescent="0.25">
      <c r="A892">
        <v>890</v>
      </c>
      <c r="B892" s="1">
        <v>1778</v>
      </c>
      <c r="C892" s="1">
        <v>1256.5285512076516</v>
      </c>
      <c r="D892">
        <f t="shared" si="79"/>
        <v>-628.26427560382581</v>
      </c>
      <c r="E892">
        <f t="shared" si="80"/>
        <v>628.26427560382581</v>
      </c>
      <c r="F892" s="7">
        <f t="shared" si="84"/>
        <v>2951008.6580252643</v>
      </c>
      <c r="G892" s="2">
        <f t="shared" si="81"/>
        <v>1778</v>
      </c>
      <c r="J892" s="2">
        <v>1256.5285512076516</v>
      </c>
      <c r="K892" s="2">
        <f t="shared" si="82"/>
        <v>-628.26427560382581</v>
      </c>
      <c r="L892" s="2">
        <f t="shared" si="83"/>
        <v>628.26427560382581</v>
      </c>
    </row>
    <row r="893" spans="1:12" x14ac:dyDescent="0.25">
      <c r="A893">
        <v>891</v>
      </c>
      <c r="B893" s="1">
        <v>1780</v>
      </c>
      <c r="C893" s="1">
        <v>1251.5590277729611</v>
      </c>
      <c r="D893">
        <f t="shared" si="79"/>
        <v>-625.77951388648057</v>
      </c>
      <c r="E893">
        <f t="shared" si="80"/>
        <v>625.77951388648057</v>
      </c>
      <c r="F893" s="7">
        <f t="shared" si="84"/>
        <v>2953516.745604245</v>
      </c>
      <c r="G893" s="2">
        <f t="shared" si="81"/>
        <v>1780</v>
      </c>
      <c r="J893" s="2">
        <v>1251.5590277729611</v>
      </c>
      <c r="K893" s="2">
        <f t="shared" si="82"/>
        <v>-625.77951388648057</v>
      </c>
      <c r="L893" s="2">
        <f t="shared" si="83"/>
        <v>625.77951388648057</v>
      </c>
    </row>
    <row r="894" spans="1:12" x14ac:dyDescent="0.25">
      <c r="A894">
        <v>892</v>
      </c>
      <c r="B894" s="1">
        <v>1782</v>
      </c>
      <c r="C894" s="1">
        <v>1246.5568579090166</v>
      </c>
      <c r="D894">
        <f t="shared" si="79"/>
        <v>-623.27842895450829</v>
      </c>
      <c r="E894">
        <f t="shared" si="80"/>
        <v>623.27842895450829</v>
      </c>
      <c r="F894" s="7">
        <f t="shared" si="84"/>
        <v>2956014.8614899269</v>
      </c>
      <c r="G894" s="2">
        <f t="shared" si="81"/>
        <v>1782</v>
      </c>
      <c r="J894" s="2">
        <v>1246.5568579090166</v>
      </c>
      <c r="K894" s="2">
        <f t="shared" si="82"/>
        <v>-623.27842895450829</v>
      </c>
      <c r="L894" s="2">
        <f t="shared" si="83"/>
        <v>623.27842895450829</v>
      </c>
    </row>
    <row r="895" spans="1:12" x14ac:dyDescent="0.25">
      <c r="A895">
        <v>893</v>
      </c>
      <c r="B895" s="1">
        <v>1784</v>
      </c>
      <c r="C895" s="1">
        <v>1241.5216470122459</v>
      </c>
      <c r="D895">
        <f t="shared" si="79"/>
        <v>-620.76082350612296</v>
      </c>
      <c r="E895">
        <f t="shared" si="80"/>
        <v>620.76082350612296</v>
      </c>
      <c r="F895" s="7">
        <f t="shared" si="84"/>
        <v>2958502.9399948483</v>
      </c>
      <c r="G895" s="2">
        <f t="shared" si="81"/>
        <v>1784</v>
      </c>
      <c r="J895" s="2">
        <v>1241.5216470122459</v>
      </c>
      <c r="K895" s="2">
        <f t="shared" si="82"/>
        <v>-620.76082350612296</v>
      </c>
      <c r="L895" s="2">
        <f t="shared" si="83"/>
        <v>620.76082350612296</v>
      </c>
    </row>
    <row r="896" spans="1:12" x14ac:dyDescent="0.25">
      <c r="A896">
        <v>894</v>
      </c>
      <c r="B896" s="1">
        <v>1786</v>
      </c>
      <c r="C896" s="1">
        <v>1236.4529914234508</v>
      </c>
      <c r="D896">
        <f t="shared" si="79"/>
        <v>-618.22649571172542</v>
      </c>
      <c r="E896">
        <f t="shared" si="80"/>
        <v>618.22649571172542</v>
      </c>
      <c r="F896" s="7">
        <f t="shared" si="84"/>
        <v>2960980.9146332839</v>
      </c>
      <c r="G896" s="2">
        <f t="shared" si="81"/>
        <v>1786</v>
      </c>
      <c r="J896" s="2">
        <v>1236.4529914234508</v>
      </c>
      <c r="K896" s="2">
        <f t="shared" si="82"/>
        <v>-618.22649571172542</v>
      </c>
      <c r="L896" s="2">
        <f t="shared" si="83"/>
        <v>618.22649571172542</v>
      </c>
    </row>
    <row r="897" spans="1:12" x14ac:dyDescent="0.25">
      <c r="A897">
        <v>895</v>
      </c>
      <c r="B897" s="1">
        <v>1788</v>
      </c>
      <c r="C897" s="1">
        <v>1231.3504781336628</v>
      </c>
      <c r="D897">
        <f t="shared" si="79"/>
        <v>-615.67523906683141</v>
      </c>
      <c r="E897">
        <f t="shared" si="80"/>
        <v>615.67523906683141</v>
      </c>
      <c r="F897" s="7">
        <f t="shared" si="84"/>
        <v>2963448.7181028412</v>
      </c>
      <c r="G897" s="2">
        <f t="shared" si="81"/>
        <v>1788</v>
      </c>
      <c r="J897" s="2">
        <v>1231.3504781336628</v>
      </c>
      <c r="K897" s="2">
        <f t="shared" si="82"/>
        <v>-615.67523906683141</v>
      </c>
      <c r="L897" s="2">
        <f t="shared" si="83"/>
        <v>615.67523906683141</v>
      </c>
    </row>
    <row r="898" spans="1:12" x14ac:dyDescent="0.25">
      <c r="A898">
        <v>896</v>
      </c>
      <c r="B898" s="1">
        <v>1790</v>
      </c>
      <c r="C898" s="1">
        <v>1226.2136844775466</v>
      </c>
      <c r="D898">
        <f t="shared" si="79"/>
        <v>-613.10684223877331</v>
      </c>
      <c r="E898">
        <f t="shared" si="80"/>
        <v>613.10684223877331</v>
      </c>
      <c r="F898" s="7">
        <f t="shared" si="84"/>
        <v>2965906.2822654522</v>
      </c>
      <c r="G898" s="2">
        <f t="shared" si="81"/>
        <v>1790</v>
      </c>
      <c r="J898" s="2">
        <v>1226.2136844775466</v>
      </c>
      <c r="K898" s="2">
        <f t="shared" si="82"/>
        <v>-613.10684223877331</v>
      </c>
      <c r="L898" s="2">
        <f t="shared" si="83"/>
        <v>613.10684223877331</v>
      </c>
    </row>
    <row r="899" spans="1:12" x14ac:dyDescent="0.25">
      <c r="A899">
        <v>897</v>
      </c>
      <c r="B899" s="1">
        <v>1792</v>
      </c>
      <c r="C899" s="1">
        <v>1221.0421778136904</v>
      </c>
      <c r="D899">
        <f t="shared" si="79"/>
        <v>-610.52108890684519</v>
      </c>
      <c r="E899">
        <f t="shared" si="80"/>
        <v>610.52108890684519</v>
      </c>
      <c r="F899" s="7">
        <f t="shared" si="84"/>
        <v>2968353.5381277436</v>
      </c>
      <c r="G899" s="2">
        <f t="shared" si="81"/>
        <v>1792</v>
      </c>
      <c r="J899" s="2">
        <v>1221.0421778136904</v>
      </c>
      <c r="K899" s="2">
        <f t="shared" si="82"/>
        <v>-610.52108890684519</v>
      </c>
      <c r="L899" s="2">
        <f t="shared" si="83"/>
        <v>610.52108890684519</v>
      </c>
    </row>
    <row r="900" spans="1:12" x14ac:dyDescent="0.25">
      <c r="A900">
        <v>898</v>
      </c>
      <c r="B900" s="1">
        <v>1794</v>
      </c>
      <c r="C900" s="1">
        <v>1215.8355151910969</v>
      </c>
      <c r="D900">
        <f t="shared" ref="D900:D963" si="85">IF(A900&lt;=COUNT(B:B),-1*C900/2,NA())</f>
        <v>-607.91775759554844</v>
      </c>
      <c r="E900">
        <f t="shared" ref="E900:E963" si="86">IF(A900&lt;=COUNT(B:B),C900/2,NA())</f>
        <v>607.91775759554844</v>
      </c>
      <c r="F900" s="7">
        <f t="shared" si="84"/>
        <v>2970790.4158207485</v>
      </c>
      <c r="G900" s="2">
        <f t="shared" ref="G900:G963" si="87">B900-$B$3</f>
        <v>1794</v>
      </c>
      <c r="J900" s="2">
        <v>1215.8355151910969</v>
      </c>
      <c r="K900" s="2">
        <f t="shared" ref="K900:K963" si="88">IF(A900&lt;=COUNT(B:B),$J900/2*-1,NA())</f>
        <v>-607.91775759554844</v>
      </c>
      <c r="L900" s="2">
        <f t="shared" ref="L900:L963" si="89">IF(A900&lt;=COUNT(B:B),$J900/2,NA())</f>
        <v>607.91775759554844</v>
      </c>
    </row>
    <row r="901" spans="1:12" x14ac:dyDescent="0.25">
      <c r="A901">
        <v>899</v>
      </c>
      <c r="B901" s="1">
        <v>1796</v>
      </c>
      <c r="C901" s="1">
        <v>1210.5932430011328</v>
      </c>
      <c r="D901">
        <f t="shared" si="85"/>
        <v>-605.2966215005664</v>
      </c>
      <c r="E901">
        <f t="shared" si="86"/>
        <v>605.2966215005664</v>
      </c>
      <c r="F901" s="7">
        <f t="shared" ref="F901:F964" si="90">IF(A900&lt;COUNT(B:B),(($C901+$C900)*(B901-B900)/2)+F900,"")</f>
        <v>2973216.8445789409</v>
      </c>
      <c r="G901" s="2">
        <f t="shared" si="87"/>
        <v>1796</v>
      </c>
      <c r="J901" s="2">
        <v>1210.5932430011328</v>
      </c>
      <c r="K901" s="2">
        <f t="shared" si="88"/>
        <v>-605.2966215005664</v>
      </c>
      <c r="L901" s="2">
        <f t="shared" si="89"/>
        <v>605.2966215005664</v>
      </c>
    </row>
    <row r="902" spans="1:12" x14ac:dyDescent="0.25">
      <c r="A902">
        <v>900</v>
      </c>
      <c r="B902" s="1">
        <v>1798</v>
      </c>
      <c r="C902" s="1">
        <v>1205.3148966141587</v>
      </c>
      <c r="D902">
        <f t="shared" si="85"/>
        <v>-602.65744830707933</v>
      </c>
      <c r="E902">
        <f t="shared" si="86"/>
        <v>602.65744830707933</v>
      </c>
      <c r="F902" s="7">
        <f t="shared" si="90"/>
        <v>2975632.7527185562</v>
      </c>
      <c r="G902" s="2">
        <f t="shared" si="87"/>
        <v>1798</v>
      </c>
      <c r="J902" s="2">
        <v>1205.3148966141587</v>
      </c>
      <c r="K902" s="2">
        <f t="shared" si="88"/>
        <v>-602.65744830707933</v>
      </c>
      <c r="L902" s="2">
        <f t="shared" si="89"/>
        <v>602.65744830707933</v>
      </c>
    </row>
    <row r="903" spans="1:12" x14ac:dyDescent="0.25">
      <c r="A903">
        <v>901</v>
      </c>
      <c r="B903" s="1">
        <v>1800</v>
      </c>
      <c r="C903" s="1">
        <v>1200</v>
      </c>
      <c r="D903">
        <f t="shared" si="85"/>
        <v>-600</v>
      </c>
      <c r="E903">
        <f t="shared" si="86"/>
        <v>600</v>
      </c>
      <c r="F903" s="7">
        <f t="shared" si="90"/>
        <v>2978038.0676151705</v>
      </c>
      <c r="G903" s="2">
        <f t="shared" si="87"/>
        <v>1800</v>
      </c>
      <c r="J903" s="2">
        <v>1200</v>
      </c>
      <c r="K903" s="2">
        <f t="shared" si="88"/>
        <v>-600</v>
      </c>
      <c r="L903" s="2">
        <f t="shared" si="89"/>
        <v>600</v>
      </c>
    </row>
    <row r="904" spans="1:12" x14ac:dyDescent="0.25">
      <c r="A904">
        <v>902</v>
      </c>
      <c r="B904" s="1">
        <v>1802</v>
      </c>
      <c r="C904" s="1">
        <v>1194.6480653313761</v>
      </c>
      <c r="D904">
        <f t="shared" si="85"/>
        <v>-597.32403266568804</v>
      </c>
      <c r="E904">
        <f t="shared" si="86"/>
        <v>597.32403266568804</v>
      </c>
      <c r="F904" s="7">
        <f t="shared" si="90"/>
        <v>2980432.7156805019</v>
      </c>
      <c r="G904" s="2">
        <f t="shared" si="87"/>
        <v>1802</v>
      </c>
      <c r="J904" s="2">
        <v>1194.6480653313761</v>
      </c>
      <c r="K904" s="2">
        <f t="shared" si="88"/>
        <v>-597.32403266568804</v>
      </c>
      <c r="L904" s="2">
        <f t="shared" si="89"/>
        <v>597.32403266568804</v>
      </c>
    </row>
    <row r="905" spans="1:12" x14ac:dyDescent="0.25">
      <c r="A905">
        <v>903</v>
      </c>
      <c r="B905" s="1">
        <v>1804</v>
      </c>
      <c r="C905" s="1">
        <v>1189.2585925693368</v>
      </c>
      <c r="D905">
        <f t="shared" si="85"/>
        <v>-594.62929628466838</v>
      </c>
      <c r="E905">
        <f t="shared" si="86"/>
        <v>594.62929628466838</v>
      </c>
      <c r="F905" s="7">
        <f t="shared" si="90"/>
        <v>2982816.6223384026</v>
      </c>
      <c r="G905" s="2">
        <f t="shared" si="87"/>
        <v>1804</v>
      </c>
      <c r="J905" s="2">
        <v>1189.2585925693368</v>
      </c>
      <c r="K905" s="2">
        <f t="shared" si="88"/>
        <v>-594.62929628466838</v>
      </c>
      <c r="L905" s="2">
        <f t="shared" si="89"/>
        <v>594.62929628466838</v>
      </c>
    </row>
    <row r="906" spans="1:12" x14ac:dyDescent="0.25">
      <c r="A906">
        <v>904</v>
      </c>
      <c r="B906" s="1">
        <v>1806</v>
      </c>
      <c r="C906" s="1">
        <v>1183.8310690296989</v>
      </c>
      <c r="D906">
        <f t="shared" si="85"/>
        <v>-591.91553451484947</v>
      </c>
      <c r="E906">
        <f t="shared" si="86"/>
        <v>591.91553451484947</v>
      </c>
      <c r="F906" s="7">
        <f t="shared" si="90"/>
        <v>2985189.7120000017</v>
      </c>
      <c r="G906" s="2">
        <f t="shared" si="87"/>
        <v>1806</v>
      </c>
      <c r="J906" s="2">
        <v>1183.8310690296989</v>
      </c>
      <c r="K906" s="2">
        <f t="shared" si="88"/>
        <v>-591.91553451484947</v>
      </c>
      <c r="L906" s="2">
        <f t="shared" si="89"/>
        <v>591.91553451484947</v>
      </c>
    </row>
    <row r="907" spans="1:12" x14ac:dyDescent="0.25">
      <c r="A907">
        <v>905</v>
      </c>
      <c r="B907" s="1">
        <v>1808</v>
      </c>
      <c r="C907" s="1">
        <v>1178.3649689294059</v>
      </c>
      <c r="D907">
        <f t="shared" si="85"/>
        <v>-589.18248446470295</v>
      </c>
      <c r="E907">
        <f t="shared" si="86"/>
        <v>589.18248446470295</v>
      </c>
      <c r="F907" s="7">
        <f t="shared" si="90"/>
        <v>2987551.908037961</v>
      </c>
      <c r="G907" s="2">
        <f t="shared" si="87"/>
        <v>1808</v>
      </c>
      <c r="J907" s="2">
        <v>1178.3649689294059</v>
      </c>
      <c r="K907" s="2">
        <f t="shared" si="88"/>
        <v>-589.18248446470295</v>
      </c>
      <c r="L907" s="2">
        <f t="shared" si="89"/>
        <v>589.18248446470295</v>
      </c>
    </row>
    <row r="908" spans="1:12" x14ac:dyDescent="0.25">
      <c r="A908">
        <v>906</v>
      </c>
      <c r="B908" s="1">
        <v>1810</v>
      </c>
      <c r="C908" s="1">
        <v>1172.8597529116598</v>
      </c>
      <c r="D908">
        <f t="shared" si="85"/>
        <v>-586.42987645582991</v>
      </c>
      <c r="E908">
        <f t="shared" si="86"/>
        <v>586.42987645582991</v>
      </c>
      <c r="F908" s="7">
        <f t="shared" si="90"/>
        <v>2989903.132759802</v>
      </c>
      <c r="G908" s="2">
        <f t="shared" si="87"/>
        <v>1810</v>
      </c>
      <c r="J908" s="2">
        <v>1172.8597529116598</v>
      </c>
      <c r="K908" s="2">
        <f t="shared" si="88"/>
        <v>-586.42987645582991</v>
      </c>
      <c r="L908" s="2">
        <f t="shared" si="89"/>
        <v>586.42987645582991</v>
      </c>
    </row>
    <row r="909" spans="1:12" x14ac:dyDescent="0.25">
      <c r="A909">
        <v>907</v>
      </c>
      <c r="B909" s="1">
        <v>1812</v>
      </c>
      <c r="C909" s="1">
        <v>1167.3148675485977</v>
      </c>
      <c r="D909">
        <f t="shared" si="85"/>
        <v>-583.65743377429885</v>
      </c>
      <c r="E909">
        <f t="shared" si="86"/>
        <v>583.65743377429885</v>
      </c>
      <c r="F909" s="7">
        <f t="shared" si="90"/>
        <v>2992243.3073802623</v>
      </c>
      <c r="G909" s="2">
        <f t="shared" si="87"/>
        <v>1812</v>
      </c>
      <c r="J909" s="2">
        <v>1167.3148675485977</v>
      </c>
      <c r="K909" s="2">
        <f t="shared" si="88"/>
        <v>-583.65743377429885</v>
      </c>
      <c r="L909" s="2">
        <f t="shared" si="89"/>
        <v>583.65743377429885</v>
      </c>
    </row>
    <row r="910" spans="1:12" x14ac:dyDescent="0.25">
      <c r="A910">
        <v>908</v>
      </c>
      <c r="B910" s="1">
        <v>1814</v>
      </c>
      <c r="C910" s="1">
        <v>1161.7297448201971</v>
      </c>
      <c r="D910">
        <f t="shared" si="85"/>
        <v>-580.86487241009854</v>
      </c>
      <c r="E910">
        <f t="shared" si="86"/>
        <v>580.86487241009854</v>
      </c>
      <c r="F910" s="7">
        <f t="shared" si="90"/>
        <v>2994572.3519926309</v>
      </c>
      <c r="G910" s="2">
        <f t="shared" si="87"/>
        <v>1814</v>
      </c>
      <c r="J910" s="2">
        <v>1161.7297448201971</v>
      </c>
      <c r="K910" s="2">
        <f t="shared" si="88"/>
        <v>-580.86487241009854</v>
      </c>
      <c r="L910" s="2">
        <f t="shared" si="89"/>
        <v>580.86487241009854</v>
      </c>
    </row>
    <row r="911" spans="1:12" x14ac:dyDescent="0.25">
      <c r="A911">
        <v>909</v>
      </c>
      <c r="B911" s="1">
        <v>1816</v>
      </c>
      <c r="C911" s="1">
        <v>1156.1038015680081</v>
      </c>
      <c r="D911">
        <f t="shared" si="85"/>
        <v>-578.05190078400403</v>
      </c>
      <c r="E911">
        <f t="shared" si="86"/>
        <v>578.05190078400403</v>
      </c>
      <c r="F911" s="7">
        <f t="shared" si="90"/>
        <v>2996890.1855390193</v>
      </c>
      <c r="G911" s="2">
        <f t="shared" si="87"/>
        <v>1816</v>
      </c>
      <c r="J911" s="2">
        <v>1156.1038015680081</v>
      </c>
      <c r="K911" s="2">
        <f t="shared" si="88"/>
        <v>-578.05190078400403</v>
      </c>
      <c r="L911" s="2">
        <f t="shared" si="89"/>
        <v>578.05190078400403</v>
      </c>
    </row>
    <row r="912" spans="1:12" x14ac:dyDescent="0.25">
      <c r="A912">
        <v>910</v>
      </c>
      <c r="B912" s="1">
        <v>1818</v>
      </c>
      <c r="C912" s="1">
        <v>1150.436438922203</v>
      </c>
      <c r="D912">
        <f t="shared" si="85"/>
        <v>-575.21821946110151</v>
      </c>
      <c r="E912">
        <f t="shared" si="86"/>
        <v>575.21821946110151</v>
      </c>
      <c r="F912" s="7">
        <f t="shared" si="90"/>
        <v>2999196.7257795096</v>
      </c>
      <c r="G912" s="2">
        <f t="shared" si="87"/>
        <v>1818</v>
      </c>
      <c r="J912" s="2">
        <v>1150.436438922203</v>
      </c>
      <c r="K912" s="2">
        <f t="shared" si="88"/>
        <v>-575.21821946110151</v>
      </c>
      <c r="L912" s="2">
        <f t="shared" si="89"/>
        <v>575.21821946110151</v>
      </c>
    </row>
    <row r="913" spans="1:12" x14ac:dyDescent="0.25">
      <c r="A913">
        <v>911</v>
      </c>
      <c r="B913" s="1">
        <v>1820</v>
      </c>
      <c r="C913" s="1">
        <v>1144.7270417003347</v>
      </c>
      <c r="D913">
        <f t="shared" si="85"/>
        <v>-572.36352085016733</v>
      </c>
      <c r="E913">
        <f t="shared" si="86"/>
        <v>572.36352085016733</v>
      </c>
      <c r="F913" s="7">
        <f t="shared" si="90"/>
        <v>3001491.8892601323</v>
      </c>
      <c r="G913" s="2">
        <f t="shared" si="87"/>
        <v>1820</v>
      </c>
      <c r="J913" s="2">
        <v>1144.7270417003347</v>
      </c>
      <c r="K913" s="2">
        <f t="shared" si="88"/>
        <v>-572.36352085016733</v>
      </c>
      <c r="L913" s="2">
        <f t="shared" si="89"/>
        <v>572.36352085016733</v>
      </c>
    </row>
    <row r="914" spans="1:12" x14ac:dyDescent="0.25">
      <c r="A914">
        <v>912</v>
      </c>
      <c r="B914" s="1">
        <v>1822</v>
      </c>
      <c r="C914" s="1">
        <v>1138.9749777760703</v>
      </c>
      <c r="D914">
        <f t="shared" si="85"/>
        <v>-569.48748888803516</v>
      </c>
      <c r="E914">
        <f t="shared" si="86"/>
        <v>569.48748888803516</v>
      </c>
      <c r="F914" s="7">
        <f t="shared" si="90"/>
        <v>3003775.5912796087</v>
      </c>
      <c r="G914" s="2">
        <f t="shared" si="87"/>
        <v>1822</v>
      </c>
      <c r="J914" s="2">
        <v>1138.9749777760703</v>
      </c>
      <c r="K914" s="2">
        <f t="shared" si="88"/>
        <v>-569.48748888803516</v>
      </c>
      <c r="L914" s="2">
        <f t="shared" si="89"/>
        <v>569.48748888803516</v>
      </c>
    </row>
    <row r="915" spans="1:12" x14ac:dyDescent="0.25">
      <c r="A915">
        <v>913</v>
      </c>
      <c r="B915" s="1">
        <v>1824</v>
      </c>
      <c r="C915" s="1">
        <v>1133.1795974160495</v>
      </c>
      <c r="D915">
        <f t="shared" si="85"/>
        <v>-566.58979870802477</v>
      </c>
      <c r="E915">
        <f t="shared" si="86"/>
        <v>566.58979870802477</v>
      </c>
      <c r="F915" s="7">
        <f t="shared" si="90"/>
        <v>3006047.7458548006</v>
      </c>
      <c r="G915" s="2">
        <f t="shared" si="87"/>
        <v>1824</v>
      </c>
      <c r="J915" s="2">
        <v>1133.1795974160495</v>
      </c>
      <c r="K915" s="2">
        <f t="shared" si="88"/>
        <v>-566.58979870802477</v>
      </c>
      <c r="L915" s="2">
        <f t="shared" si="89"/>
        <v>566.58979870802477</v>
      </c>
    </row>
    <row r="916" spans="1:12" x14ac:dyDescent="0.25">
      <c r="A916">
        <v>914</v>
      </c>
      <c r="B916" s="1">
        <v>1826</v>
      </c>
      <c r="C916" s="1">
        <v>1127.3402325828702</v>
      </c>
      <c r="D916">
        <f t="shared" si="85"/>
        <v>-563.67011629143508</v>
      </c>
      <c r="E916">
        <f t="shared" si="86"/>
        <v>563.67011629143508</v>
      </c>
      <c r="F916" s="7">
        <f t="shared" si="90"/>
        <v>3008308.2656847993</v>
      </c>
      <c r="G916" s="2">
        <f t="shared" si="87"/>
        <v>1826</v>
      </c>
      <c r="J916" s="2">
        <v>1127.3402325828702</v>
      </c>
      <c r="K916" s="2">
        <f t="shared" si="88"/>
        <v>-563.67011629143508</v>
      </c>
      <c r="L916" s="2">
        <f t="shared" si="89"/>
        <v>563.67011629143508</v>
      </c>
    </row>
    <row r="917" spans="1:12" x14ac:dyDescent="0.25">
      <c r="A917">
        <v>915</v>
      </c>
      <c r="B917" s="1">
        <v>1828</v>
      </c>
      <c r="C917" s="1">
        <v>1121.456196202063</v>
      </c>
      <c r="D917">
        <f t="shared" si="85"/>
        <v>-560.72809810103149</v>
      </c>
      <c r="E917">
        <f t="shared" si="86"/>
        <v>560.72809810103149</v>
      </c>
      <c r="F917" s="7">
        <f t="shared" si="90"/>
        <v>3010557.062113584</v>
      </c>
      <c r="G917" s="2">
        <f t="shared" si="87"/>
        <v>1828</v>
      </c>
      <c r="J917" s="2">
        <v>1121.456196202063</v>
      </c>
      <c r="K917" s="2">
        <f t="shared" si="88"/>
        <v>-560.72809810103149</v>
      </c>
      <c r="L917" s="2">
        <f t="shared" si="89"/>
        <v>560.72809810103149</v>
      </c>
    </row>
    <row r="918" spans="1:12" x14ac:dyDescent="0.25">
      <c r="A918">
        <v>916</v>
      </c>
      <c r="B918" s="1">
        <v>1830</v>
      </c>
      <c r="C918" s="1">
        <v>1115.5267813907471</v>
      </c>
      <c r="D918">
        <f t="shared" si="85"/>
        <v>-557.76339069537357</v>
      </c>
      <c r="E918">
        <f t="shared" si="86"/>
        <v>557.76339069537357</v>
      </c>
      <c r="F918" s="7">
        <f t="shared" si="90"/>
        <v>3012794.0450911769</v>
      </c>
      <c r="G918" s="2">
        <f t="shared" si="87"/>
        <v>1830</v>
      </c>
      <c r="J918" s="2">
        <v>1115.5267813907471</v>
      </c>
      <c r="K918" s="2">
        <f t="shared" si="88"/>
        <v>-557.76339069537357</v>
      </c>
      <c r="L918" s="2">
        <f t="shared" si="89"/>
        <v>557.76339069537357</v>
      </c>
    </row>
    <row r="919" spans="1:12" x14ac:dyDescent="0.25">
      <c r="A919">
        <v>917</v>
      </c>
      <c r="B919" s="1">
        <v>1832</v>
      </c>
      <c r="C919" s="1">
        <v>1109.5512606454918</v>
      </c>
      <c r="D919">
        <f t="shared" si="85"/>
        <v>-554.77563032274588</v>
      </c>
      <c r="E919">
        <f t="shared" si="86"/>
        <v>554.77563032274588</v>
      </c>
      <c r="F919" s="7">
        <f t="shared" si="90"/>
        <v>3015019.1231332133</v>
      </c>
      <c r="G919" s="2">
        <f t="shared" si="87"/>
        <v>1832</v>
      </c>
      <c r="J919" s="2">
        <v>1109.5512606454918</v>
      </c>
      <c r="K919" s="2">
        <f t="shared" si="88"/>
        <v>-554.77563032274588</v>
      </c>
      <c r="L919" s="2">
        <f t="shared" si="89"/>
        <v>554.77563032274588</v>
      </c>
    </row>
    <row r="920" spans="1:12" x14ac:dyDescent="0.25">
      <c r="A920">
        <v>918</v>
      </c>
      <c r="B920" s="1">
        <v>1834</v>
      </c>
      <c r="C920" s="1">
        <v>1103.5288849867047</v>
      </c>
      <c r="D920">
        <f t="shared" si="85"/>
        <v>-551.76444249335236</v>
      </c>
      <c r="E920">
        <f t="shared" si="86"/>
        <v>551.76444249335236</v>
      </c>
      <c r="F920" s="7">
        <f t="shared" si="90"/>
        <v>3017232.2032788456</v>
      </c>
      <c r="G920" s="2">
        <f t="shared" si="87"/>
        <v>1834</v>
      </c>
      <c r="J920" s="2">
        <v>1103.5288849867047</v>
      </c>
      <c r="K920" s="2">
        <f t="shared" si="88"/>
        <v>-551.76444249335236</v>
      </c>
      <c r="L920" s="2">
        <f t="shared" si="89"/>
        <v>551.76444249335236</v>
      </c>
    </row>
    <row r="921" spans="1:12" x14ac:dyDescent="0.25">
      <c r="A921">
        <v>919</v>
      </c>
      <c r="B921" s="1">
        <v>1836</v>
      </c>
      <c r="C921" s="1">
        <v>1097.4588830566729</v>
      </c>
      <c r="D921">
        <f t="shared" si="85"/>
        <v>-548.72944152833645</v>
      </c>
      <c r="E921">
        <f t="shared" si="86"/>
        <v>548.72944152833645</v>
      </c>
      <c r="F921" s="7">
        <f t="shared" si="90"/>
        <v>3019433.1910468889</v>
      </c>
      <c r="G921" s="2">
        <f t="shared" si="87"/>
        <v>1836</v>
      </c>
      <c r="J921" s="2">
        <v>1097.4588830566729</v>
      </c>
      <c r="K921" s="2">
        <f t="shared" si="88"/>
        <v>-548.72944152833645</v>
      </c>
      <c r="L921" s="2">
        <f t="shared" si="89"/>
        <v>548.72944152833645</v>
      </c>
    </row>
    <row r="922" spans="1:12" x14ac:dyDescent="0.25">
      <c r="A922">
        <v>920</v>
      </c>
      <c r="B922" s="1">
        <v>1838</v>
      </c>
      <c r="C922" s="1">
        <v>1091.3404601681366</v>
      </c>
      <c r="D922">
        <f t="shared" si="85"/>
        <v>-545.67023008406829</v>
      </c>
      <c r="E922">
        <f t="shared" si="86"/>
        <v>545.67023008406829</v>
      </c>
      <c r="F922" s="7">
        <f t="shared" si="90"/>
        <v>3021621.9903901136</v>
      </c>
      <c r="G922" s="2">
        <f t="shared" si="87"/>
        <v>1838</v>
      </c>
      <c r="J922" s="2">
        <v>1091.3404601681366</v>
      </c>
      <c r="K922" s="2">
        <f t="shared" si="88"/>
        <v>-545.67023008406829</v>
      </c>
      <c r="L922" s="2">
        <f t="shared" si="89"/>
        <v>545.67023008406829</v>
      </c>
    </row>
    <row r="923" spans="1:12" x14ac:dyDescent="0.25">
      <c r="A923">
        <v>921</v>
      </c>
      <c r="B923" s="1">
        <v>1840</v>
      </c>
      <c r="C923" s="1">
        <v>1085.1727973000429</v>
      </c>
      <c r="D923">
        <f t="shared" si="85"/>
        <v>-542.58639865002147</v>
      </c>
      <c r="E923">
        <f t="shared" si="86"/>
        <v>542.58639865002147</v>
      </c>
      <c r="F923" s="7">
        <f t="shared" si="90"/>
        <v>3023798.5036475817</v>
      </c>
      <c r="G923" s="2">
        <f t="shared" si="87"/>
        <v>1840</v>
      </c>
      <c r="J923" s="2">
        <v>1085.1727973000429</v>
      </c>
      <c r="K923" s="2">
        <f t="shared" si="88"/>
        <v>-542.58639865002147</v>
      </c>
      <c r="L923" s="2">
        <f t="shared" si="89"/>
        <v>542.58639865002147</v>
      </c>
    </row>
    <row r="924" spans="1:12" x14ac:dyDescent="0.25">
      <c r="A924">
        <v>922</v>
      </c>
      <c r="B924" s="1">
        <v>1842</v>
      </c>
      <c r="C924" s="1">
        <v>1078.95505003684</v>
      </c>
      <c r="D924">
        <f t="shared" si="85"/>
        <v>-539.47752501842001</v>
      </c>
      <c r="E924">
        <f t="shared" si="86"/>
        <v>539.47752501842001</v>
      </c>
      <c r="F924" s="7">
        <f t="shared" si="90"/>
        <v>3025962.6314949184</v>
      </c>
      <c r="G924" s="2">
        <f t="shared" si="87"/>
        <v>1842</v>
      </c>
      <c r="J924" s="2">
        <v>1078.95505003684</v>
      </c>
      <c r="K924" s="2">
        <f t="shared" si="88"/>
        <v>-539.47752501842001</v>
      </c>
      <c r="L924" s="2">
        <f t="shared" si="89"/>
        <v>539.47752501842001</v>
      </c>
    </row>
    <row r="925" spans="1:12" x14ac:dyDescent="0.25">
      <c r="A925">
        <v>923</v>
      </c>
      <c r="B925" s="1">
        <v>1844</v>
      </c>
      <c r="C925" s="1">
        <v>1072.6863474473794</v>
      </c>
      <c r="D925">
        <f t="shared" si="85"/>
        <v>-536.34317372368969</v>
      </c>
      <c r="E925">
        <f t="shared" si="86"/>
        <v>536.34317372368969</v>
      </c>
      <c r="F925" s="7">
        <f t="shared" si="90"/>
        <v>3028114.2728924025</v>
      </c>
      <c r="G925" s="2">
        <f t="shared" si="87"/>
        <v>1844</v>
      </c>
      <c r="J925" s="2">
        <v>1072.6863474473794</v>
      </c>
      <c r="K925" s="2">
        <f t="shared" si="88"/>
        <v>-536.34317372368969</v>
      </c>
      <c r="L925" s="2">
        <f t="shared" si="89"/>
        <v>536.34317372368969</v>
      </c>
    </row>
    <row r="926" spans="1:12" x14ac:dyDescent="0.25">
      <c r="A926">
        <v>924</v>
      </c>
      <c r="B926" s="1">
        <v>1846</v>
      </c>
      <c r="C926" s="1">
        <v>1066.3657908991643</v>
      </c>
      <c r="D926">
        <f t="shared" si="85"/>
        <v>-533.18289544958213</v>
      </c>
      <c r="E926">
        <f t="shared" si="86"/>
        <v>533.18289544958213</v>
      </c>
      <c r="F926" s="7">
        <f t="shared" si="90"/>
        <v>3030253.3250307492</v>
      </c>
      <c r="G926" s="2">
        <f t="shared" si="87"/>
        <v>1846</v>
      </c>
      <c r="J926" s="2">
        <v>1066.3657908991643</v>
      </c>
      <c r="K926" s="2">
        <f t="shared" si="88"/>
        <v>-533.18289544958213</v>
      </c>
      <c r="L926" s="2">
        <f t="shared" si="89"/>
        <v>533.18289544958213</v>
      </c>
    </row>
    <row r="927" spans="1:12" x14ac:dyDescent="0.25">
      <c r="A927">
        <v>925</v>
      </c>
      <c r="B927" s="1">
        <v>1848</v>
      </c>
      <c r="C927" s="1">
        <v>1059.9924528033207</v>
      </c>
      <c r="D927">
        <f t="shared" si="85"/>
        <v>-529.99622640166035</v>
      </c>
      <c r="E927">
        <f t="shared" si="86"/>
        <v>529.99622640166035</v>
      </c>
      <c r="F927" s="7">
        <f t="shared" si="90"/>
        <v>3032379.6832744516</v>
      </c>
      <c r="G927" s="2">
        <f t="shared" si="87"/>
        <v>1848</v>
      </c>
      <c r="J927" s="2">
        <v>1059.9924528033207</v>
      </c>
      <c r="K927" s="2">
        <f t="shared" si="88"/>
        <v>-529.99622640166035</v>
      </c>
      <c r="L927" s="2">
        <f t="shared" si="89"/>
        <v>529.99622640166035</v>
      </c>
    </row>
    <row r="928" spans="1:12" x14ac:dyDescent="0.25">
      <c r="A928">
        <v>926</v>
      </c>
      <c r="B928" s="1">
        <v>1850</v>
      </c>
      <c r="C928" s="1">
        <v>1053.5653752852738</v>
      </c>
      <c r="D928">
        <f t="shared" si="85"/>
        <v>-526.78268764263692</v>
      </c>
      <c r="E928">
        <f t="shared" si="86"/>
        <v>526.78268764263692</v>
      </c>
      <c r="F928" s="7">
        <f t="shared" si="90"/>
        <v>3034493.2411025404</v>
      </c>
      <c r="G928" s="2">
        <f t="shared" si="87"/>
        <v>1850</v>
      </c>
      <c r="J928" s="2">
        <v>1053.5653752852738</v>
      </c>
      <c r="K928" s="2">
        <f t="shared" si="88"/>
        <v>-526.78268764263692</v>
      </c>
      <c r="L928" s="2">
        <f t="shared" si="89"/>
        <v>526.78268764263692</v>
      </c>
    </row>
    <row r="929" spans="1:12" x14ac:dyDescent="0.25">
      <c r="A929">
        <v>927</v>
      </c>
      <c r="B929" s="1">
        <v>1852</v>
      </c>
      <c r="C929" s="1">
        <v>1047.0835687756733</v>
      </c>
      <c r="D929">
        <f t="shared" si="85"/>
        <v>-523.54178438783663</v>
      </c>
      <c r="E929">
        <f t="shared" si="86"/>
        <v>523.54178438783663</v>
      </c>
      <c r="F929" s="7">
        <f t="shared" si="90"/>
        <v>3036593.8900466012</v>
      </c>
      <c r="G929" s="2">
        <f t="shared" si="87"/>
        <v>1852</v>
      </c>
      <c r="J929" s="2">
        <v>1047.0835687756733</v>
      </c>
      <c r="K929" s="2">
        <f t="shared" si="88"/>
        <v>-523.54178438783663</v>
      </c>
      <c r="L929" s="2">
        <f t="shared" si="89"/>
        <v>523.54178438783663</v>
      </c>
    </row>
    <row r="930" spans="1:12" x14ac:dyDescent="0.25">
      <c r="A930">
        <v>928</v>
      </c>
      <c r="B930" s="1">
        <v>1854</v>
      </c>
      <c r="C930" s="1">
        <v>1040.546010515633</v>
      </c>
      <c r="D930">
        <f t="shared" si="85"/>
        <v>-520.27300525781652</v>
      </c>
      <c r="E930">
        <f t="shared" si="86"/>
        <v>520.27300525781652</v>
      </c>
      <c r="F930" s="7">
        <f t="shared" si="90"/>
        <v>3038681.5196258924</v>
      </c>
      <c r="G930" s="2">
        <f t="shared" si="87"/>
        <v>1854</v>
      </c>
      <c r="J930" s="2">
        <v>1040.546010515633</v>
      </c>
      <c r="K930" s="2">
        <f t="shared" si="88"/>
        <v>-520.27300525781652</v>
      </c>
      <c r="L930" s="2">
        <f t="shared" si="89"/>
        <v>520.27300525781652</v>
      </c>
    </row>
    <row r="931" spans="1:12" x14ac:dyDescent="0.25">
      <c r="A931">
        <v>929</v>
      </c>
      <c r="B931" s="1">
        <v>1856</v>
      </c>
      <c r="C931" s="1">
        <v>1033.9516429698247</v>
      </c>
      <c r="D931">
        <f t="shared" si="85"/>
        <v>-516.97582148491233</v>
      </c>
      <c r="E931">
        <f t="shared" si="86"/>
        <v>516.97582148491233</v>
      </c>
      <c r="F931" s="7">
        <f t="shared" si="90"/>
        <v>3040756.0172793777</v>
      </c>
      <c r="G931" s="2">
        <f t="shared" si="87"/>
        <v>1856</v>
      </c>
      <c r="J931" s="2">
        <v>1033.9516429698247</v>
      </c>
      <c r="K931" s="2">
        <f t="shared" si="88"/>
        <v>-516.97582148491233</v>
      </c>
      <c r="L931" s="2">
        <f t="shared" si="89"/>
        <v>516.97582148491233</v>
      </c>
    </row>
    <row r="932" spans="1:12" x14ac:dyDescent="0.25">
      <c r="A932">
        <v>930</v>
      </c>
      <c r="B932" s="1">
        <v>1858</v>
      </c>
      <c r="C932" s="1">
        <v>1027.2993721403707</v>
      </c>
      <c r="D932">
        <f t="shared" si="85"/>
        <v>-513.64968607018534</v>
      </c>
      <c r="E932">
        <f t="shared" si="86"/>
        <v>513.64968607018534</v>
      </c>
      <c r="F932" s="7">
        <f t="shared" si="90"/>
        <v>3042817.2682944881</v>
      </c>
      <c r="G932" s="2">
        <f t="shared" si="87"/>
        <v>1858</v>
      </c>
      <c r="J932" s="2">
        <v>1027.2993721403707</v>
      </c>
      <c r="K932" s="2">
        <f t="shared" si="88"/>
        <v>-513.64968607018534</v>
      </c>
      <c r="L932" s="2">
        <f t="shared" si="89"/>
        <v>513.64968607018534</v>
      </c>
    </row>
    <row r="933" spans="1:12" x14ac:dyDescent="0.25">
      <c r="A933">
        <v>931</v>
      </c>
      <c r="B933" s="1">
        <v>1860</v>
      </c>
      <c r="C933" s="1">
        <v>1020.5880657738459</v>
      </c>
      <c r="D933">
        <f t="shared" si="85"/>
        <v>-510.29403288692293</v>
      </c>
      <c r="E933">
        <f t="shared" si="86"/>
        <v>510.29403288692293</v>
      </c>
      <c r="F933" s="7">
        <f t="shared" si="90"/>
        <v>3044865.1557324021</v>
      </c>
      <c r="G933" s="2">
        <f t="shared" si="87"/>
        <v>1860</v>
      </c>
      <c r="J933" s="2">
        <v>1020.5880657738459</v>
      </c>
      <c r="K933" s="2">
        <f t="shared" si="88"/>
        <v>-510.29403288692293</v>
      </c>
      <c r="L933" s="2">
        <f t="shared" si="89"/>
        <v>510.29403288692293</v>
      </c>
    </row>
    <row r="934" spans="1:12" x14ac:dyDescent="0.25">
      <c r="A934">
        <v>932</v>
      </c>
      <c r="B934" s="1">
        <v>1862</v>
      </c>
      <c r="C934" s="1">
        <v>1013.8165514529736</v>
      </c>
      <c r="D934">
        <f t="shared" si="85"/>
        <v>-506.90827572648681</v>
      </c>
      <c r="E934">
        <f t="shared" si="86"/>
        <v>506.90827572648681</v>
      </c>
      <c r="F934" s="7">
        <f t="shared" si="90"/>
        <v>3046899.5603496288</v>
      </c>
      <c r="G934" s="2">
        <f t="shared" si="87"/>
        <v>1862</v>
      </c>
      <c r="J934" s="2">
        <v>1013.8165514529736</v>
      </c>
      <c r="K934" s="2">
        <f t="shared" si="88"/>
        <v>-506.90827572648681</v>
      </c>
      <c r="L934" s="2">
        <f t="shared" si="89"/>
        <v>506.90827572648681</v>
      </c>
    </row>
    <row r="935" spans="1:12" x14ac:dyDescent="0.25">
      <c r="A935">
        <v>933</v>
      </c>
      <c r="B935" s="1">
        <v>1864</v>
      </c>
      <c r="C935" s="1">
        <v>1006.983614563812</v>
      </c>
      <c r="D935">
        <f t="shared" si="85"/>
        <v>-503.49180728190601</v>
      </c>
      <c r="E935">
        <f t="shared" si="86"/>
        <v>503.49180728190601</v>
      </c>
      <c r="F935" s="7">
        <f t="shared" si="90"/>
        <v>3048920.3605156457</v>
      </c>
      <c r="G935" s="2">
        <f t="shared" si="87"/>
        <v>1864</v>
      </c>
      <c r="J935" s="2">
        <v>1006.983614563812</v>
      </c>
      <c r="K935" s="2">
        <f t="shared" si="88"/>
        <v>-503.49180728190601</v>
      </c>
      <c r="L935" s="2">
        <f t="shared" si="89"/>
        <v>503.49180728190601</v>
      </c>
    </row>
    <row r="936" spans="1:12" x14ac:dyDescent="0.25">
      <c r="A936">
        <v>934</v>
      </c>
      <c r="B936" s="1">
        <v>1866</v>
      </c>
      <c r="C936" s="1">
        <v>1000.0879961283407</v>
      </c>
      <c r="D936">
        <f t="shared" si="85"/>
        <v>-500.04399806417035</v>
      </c>
      <c r="E936">
        <f t="shared" si="86"/>
        <v>500.04399806417035</v>
      </c>
      <c r="F936" s="7">
        <f t="shared" si="90"/>
        <v>3050927.4321263377</v>
      </c>
      <c r="G936" s="2">
        <f t="shared" si="87"/>
        <v>1866</v>
      </c>
      <c r="J936" s="2">
        <v>1000.0879961283407</v>
      </c>
      <c r="K936" s="2">
        <f t="shared" si="88"/>
        <v>-500.04399806417035</v>
      </c>
      <c r="L936" s="2">
        <f t="shared" si="89"/>
        <v>500.04399806417035</v>
      </c>
    </row>
    <row r="937" spans="1:12" x14ac:dyDescent="0.25">
      <c r="A937">
        <v>935</v>
      </c>
      <c r="B937" s="1">
        <v>1868</v>
      </c>
      <c r="C937" s="1">
        <v>993.12839049138051</v>
      </c>
      <c r="D937">
        <f t="shared" si="85"/>
        <v>-496.56419524569026</v>
      </c>
      <c r="E937">
        <f t="shared" si="86"/>
        <v>496.56419524569026</v>
      </c>
      <c r="F937" s="7">
        <f t="shared" si="90"/>
        <v>3052920.6485129572</v>
      </c>
      <c r="G937" s="2">
        <f t="shared" si="87"/>
        <v>1868</v>
      </c>
      <c r="J937" s="2">
        <v>993.12839049138051</v>
      </c>
      <c r="K937" s="2">
        <f t="shared" si="88"/>
        <v>-496.56419524569026</v>
      </c>
      <c r="L937" s="2">
        <f t="shared" si="89"/>
        <v>496.56419524569026</v>
      </c>
    </row>
    <row r="938" spans="1:12" x14ac:dyDescent="0.25">
      <c r="A938">
        <v>936</v>
      </c>
      <c r="B938" s="1">
        <v>1870</v>
      </c>
      <c r="C938" s="1">
        <v>986.10344284968403</v>
      </c>
      <c r="D938">
        <f t="shared" si="85"/>
        <v>-493.05172142484201</v>
      </c>
      <c r="E938">
        <f t="shared" si="86"/>
        <v>493.05172142484201</v>
      </c>
      <c r="F938" s="7">
        <f t="shared" si="90"/>
        <v>3054899.8803462982</v>
      </c>
      <c r="G938" s="2">
        <f t="shared" si="87"/>
        <v>1870</v>
      </c>
      <c r="J938" s="2">
        <v>986.10344284968403</v>
      </c>
      <c r="K938" s="2">
        <f t="shared" si="88"/>
        <v>-493.05172142484201</v>
      </c>
      <c r="L938" s="2">
        <f t="shared" si="89"/>
        <v>493.05172142484201</v>
      </c>
    </row>
    <row r="939" spans="1:12" x14ac:dyDescent="0.25">
      <c r="A939">
        <v>937</v>
      </c>
      <c r="B939" s="1">
        <v>1872</v>
      </c>
      <c r="C939" s="1">
        <v>979.01174660981474</v>
      </c>
      <c r="D939">
        <f t="shared" si="85"/>
        <v>-489.50587330490737</v>
      </c>
      <c r="E939">
        <f t="shared" si="86"/>
        <v>489.50587330490737</v>
      </c>
      <c r="F939" s="7">
        <f t="shared" si="90"/>
        <v>3056864.9955357579</v>
      </c>
      <c r="G939" s="2">
        <f t="shared" si="87"/>
        <v>1872</v>
      </c>
      <c r="J939" s="2">
        <v>979.01174660981474</v>
      </c>
      <c r="K939" s="2">
        <f t="shared" si="88"/>
        <v>-489.50587330490737</v>
      </c>
      <c r="L939" s="2">
        <f t="shared" si="89"/>
        <v>489.50587330490737</v>
      </c>
    </row>
    <row r="940" spans="1:12" x14ac:dyDescent="0.25">
      <c r="A940">
        <v>938</v>
      </c>
      <c r="B940" s="1">
        <v>1874</v>
      </c>
      <c r="C940" s="1">
        <v>971.85184056007222</v>
      </c>
      <c r="D940">
        <f t="shared" si="85"/>
        <v>-485.92592028003611</v>
      </c>
      <c r="E940">
        <f t="shared" si="86"/>
        <v>485.92592028003611</v>
      </c>
      <c r="F940" s="7">
        <f t="shared" si="90"/>
        <v>3058815.8591229278</v>
      </c>
      <c r="G940" s="2">
        <f t="shared" si="87"/>
        <v>1874</v>
      </c>
      <c r="J940" s="2">
        <v>971.85184056007222</v>
      </c>
      <c r="K940" s="2">
        <f t="shared" si="88"/>
        <v>-485.92592028003611</v>
      </c>
      <c r="L940" s="2">
        <f t="shared" si="89"/>
        <v>485.92592028003611</v>
      </c>
    </row>
    <row r="941" spans="1:12" x14ac:dyDescent="0.25">
      <c r="A941">
        <v>939</v>
      </c>
      <c r="B941" s="1">
        <v>1876</v>
      </c>
      <c r="C941" s="1">
        <v>964.62220584019315</v>
      </c>
      <c r="D941">
        <f t="shared" si="85"/>
        <v>-482.31110292009657</v>
      </c>
      <c r="E941">
        <f t="shared" si="86"/>
        <v>482.31110292009657</v>
      </c>
      <c r="F941" s="7">
        <f t="shared" si="90"/>
        <v>3060752.333169328</v>
      </c>
      <c r="G941" s="2">
        <f t="shared" si="87"/>
        <v>1876</v>
      </c>
      <c r="J941" s="2">
        <v>964.62220584019315</v>
      </c>
      <c r="K941" s="2">
        <f t="shared" si="88"/>
        <v>-482.31110292009657</v>
      </c>
      <c r="L941" s="2">
        <f t="shared" si="89"/>
        <v>482.31110292009657</v>
      </c>
    </row>
    <row r="942" spans="1:12" x14ac:dyDescent="0.25">
      <c r="A942">
        <v>940</v>
      </c>
      <c r="B942" s="1">
        <v>1878</v>
      </c>
      <c r="C942" s="1">
        <v>957.32126269084824</v>
      </c>
      <c r="D942">
        <f t="shared" si="85"/>
        <v>-478.66063134542412</v>
      </c>
      <c r="E942">
        <f t="shared" si="86"/>
        <v>478.66063134542412</v>
      </c>
      <c r="F942" s="7">
        <f t="shared" si="90"/>
        <v>3062674.2766378592</v>
      </c>
      <c r="G942" s="2">
        <f t="shared" si="87"/>
        <v>1878</v>
      </c>
      <c r="J942" s="2">
        <v>957.32126269084824</v>
      </c>
      <c r="K942" s="2">
        <f t="shared" si="88"/>
        <v>-478.66063134542412</v>
      </c>
      <c r="L942" s="2">
        <f t="shared" si="89"/>
        <v>478.66063134542412</v>
      </c>
    </row>
    <row r="943" spans="1:12" x14ac:dyDescent="0.25">
      <c r="A943">
        <v>941</v>
      </c>
      <c r="B943" s="1">
        <v>1880</v>
      </c>
      <c r="C943" s="1">
        <v>949.94736696303335</v>
      </c>
      <c r="D943">
        <f t="shared" si="85"/>
        <v>-474.97368348151667</v>
      </c>
      <c r="E943">
        <f t="shared" si="86"/>
        <v>474.97368348151667</v>
      </c>
      <c r="F943" s="7">
        <f t="shared" si="90"/>
        <v>3064581.545267513</v>
      </c>
      <c r="G943" s="2">
        <f t="shared" si="87"/>
        <v>1880</v>
      </c>
      <c r="J943" s="2">
        <v>949.94736696303335</v>
      </c>
      <c r="K943" s="2">
        <f t="shared" si="88"/>
        <v>-474.97368348151667</v>
      </c>
      <c r="L943" s="2">
        <f t="shared" si="89"/>
        <v>474.97368348151667</v>
      </c>
    </row>
    <row r="944" spans="1:12" x14ac:dyDescent="0.25">
      <c r="A944">
        <v>942</v>
      </c>
      <c r="B944" s="1">
        <v>1882</v>
      </c>
      <c r="C944" s="1">
        <v>942.4988063652919</v>
      </c>
      <c r="D944">
        <f t="shared" si="85"/>
        <v>-471.24940318264595</v>
      </c>
      <c r="E944">
        <f t="shared" si="86"/>
        <v>471.24940318264595</v>
      </c>
      <c r="F944" s="7">
        <f t="shared" si="90"/>
        <v>3066473.9914408415</v>
      </c>
      <c r="G944" s="2">
        <f t="shared" si="87"/>
        <v>1882</v>
      </c>
      <c r="J944" s="2">
        <v>942.4988063652919</v>
      </c>
      <c r="K944" s="2">
        <f t="shared" si="88"/>
        <v>-471.24940318264595</v>
      </c>
      <c r="L944" s="2">
        <f t="shared" si="89"/>
        <v>471.24940318264595</v>
      </c>
    </row>
    <row r="945" spans="1:12" x14ac:dyDescent="0.25">
      <c r="A945">
        <v>943</v>
      </c>
      <c r="B945" s="1">
        <v>1884</v>
      </c>
      <c r="C945" s="1">
        <v>934.97379642426347</v>
      </c>
      <c r="D945">
        <f t="shared" si="85"/>
        <v>-467.48689821213173</v>
      </c>
      <c r="E945">
        <f t="shared" si="86"/>
        <v>467.48689821213173</v>
      </c>
      <c r="F945" s="7">
        <f t="shared" si="90"/>
        <v>3068351.4640436312</v>
      </c>
      <c r="G945" s="2">
        <f t="shared" si="87"/>
        <v>1884</v>
      </c>
      <c r="J945" s="2">
        <v>934.97379642426347</v>
      </c>
      <c r="K945" s="2">
        <f t="shared" si="88"/>
        <v>-467.48689821213173</v>
      </c>
      <c r="L945" s="2">
        <f t="shared" si="89"/>
        <v>467.48689821213173</v>
      </c>
    </row>
    <row r="946" spans="1:12" x14ac:dyDescent="0.25">
      <c r="A946">
        <v>944</v>
      </c>
      <c r="B946" s="1">
        <v>1886</v>
      </c>
      <c r="C946" s="1">
        <v>927.37047613130323</v>
      </c>
      <c r="D946">
        <f t="shared" si="85"/>
        <v>-463.68523806565162</v>
      </c>
      <c r="E946">
        <f t="shared" si="86"/>
        <v>463.68523806565162</v>
      </c>
      <c r="F946" s="7">
        <f t="shared" si="90"/>
        <v>3070213.808316187</v>
      </c>
      <c r="G946" s="2">
        <f t="shared" si="87"/>
        <v>1886</v>
      </c>
      <c r="J946" s="2">
        <v>927.37047613130323</v>
      </c>
      <c r="K946" s="2">
        <f t="shared" si="88"/>
        <v>-463.68523806565162</v>
      </c>
      <c r="L946" s="2">
        <f t="shared" si="89"/>
        <v>463.68523806565162</v>
      </c>
    </row>
    <row r="947" spans="1:12" x14ac:dyDescent="0.25">
      <c r="A947">
        <v>945</v>
      </c>
      <c r="B947" s="1">
        <v>1888</v>
      </c>
      <c r="C947" s="1">
        <v>919.68690324479451</v>
      </c>
      <c r="D947">
        <f t="shared" si="85"/>
        <v>-459.84345162239725</v>
      </c>
      <c r="E947">
        <f t="shared" si="86"/>
        <v>459.84345162239725</v>
      </c>
      <c r="F947" s="7">
        <f t="shared" si="90"/>
        <v>3072060.8656955631</v>
      </c>
      <c r="G947" s="2">
        <f t="shared" si="87"/>
        <v>1888</v>
      </c>
      <c r="J947" s="2">
        <v>919.68690324479451</v>
      </c>
      <c r="K947" s="2">
        <f t="shared" si="88"/>
        <v>-459.84345162239725</v>
      </c>
      <c r="L947" s="2">
        <f t="shared" si="89"/>
        <v>459.84345162239725</v>
      </c>
    </row>
    <row r="948" spans="1:12" x14ac:dyDescent="0.25">
      <c r="A948">
        <v>946</v>
      </c>
      <c r="B948" s="1">
        <v>1890</v>
      </c>
      <c r="C948" s="1">
        <v>911.92104921423982</v>
      </c>
      <c r="D948">
        <f t="shared" si="85"/>
        <v>-455.96052460711991</v>
      </c>
      <c r="E948">
        <f t="shared" si="86"/>
        <v>455.96052460711991</v>
      </c>
      <c r="F948" s="7">
        <f t="shared" si="90"/>
        <v>3073892.4736480224</v>
      </c>
      <c r="G948" s="2">
        <f t="shared" si="87"/>
        <v>1890</v>
      </c>
      <c r="J948" s="2">
        <v>911.92104921423982</v>
      </c>
      <c r="K948" s="2">
        <f t="shared" si="88"/>
        <v>-455.96052460711991</v>
      </c>
      <c r="L948" s="2">
        <f t="shared" si="89"/>
        <v>455.96052460711991</v>
      </c>
    </row>
    <row r="949" spans="1:12" x14ac:dyDescent="0.25">
      <c r="A949">
        <v>947</v>
      </c>
      <c r="B949" s="1">
        <v>1892</v>
      </c>
      <c r="C949" s="1">
        <v>904.07079368819348</v>
      </c>
      <c r="D949">
        <f t="shared" si="85"/>
        <v>-452.03539684409674</v>
      </c>
      <c r="E949">
        <f t="shared" si="86"/>
        <v>452.03539684409674</v>
      </c>
      <c r="F949" s="7">
        <f t="shared" si="90"/>
        <v>3075708.4654909247</v>
      </c>
      <c r="G949" s="2">
        <f t="shared" si="87"/>
        <v>1892</v>
      </c>
      <c r="J949" s="2">
        <v>904.07079368819348</v>
      </c>
      <c r="K949" s="2">
        <f t="shared" si="88"/>
        <v>-452.03539684409674</v>
      </c>
      <c r="L949" s="2">
        <f t="shared" si="89"/>
        <v>452.03539684409674</v>
      </c>
    </row>
    <row r="950" spans="1:12" x14ac:dyDescent="0.25">
      <c r="A950">
        <v>948</v>
      </c>
      <c r="B950" s="1">
        <v>1894</v>
      </c>
      <c r="C950" s="1">
        <v>896.13391856351473</v>
      </c>
      <c r="D950">
        <f t="shared" si="85"/>
        <v>-448.06695928175736</v>
      </c>
      <c r="E950">
        <f t="shared" si="86"/>
        <v>448.06695928175736</v>
      </c>
      <c r="F950" s="7">
        <f t="shared" si="90"/>
        <v>3077508.6702031763</v>
      </c>
      <c r="G950" s="2">
        <f t="shared" si="87"/>
        <v>1894</v>
      </c>
      <c r="J950" s="2">
        <v>896.13391856351473</v>
      </c>
      <c r="K950" s="2">
        <f t="shared" si="88"/>
        <v>-448.06695928175736</v>
      </c>
      <c r="L950" s="2">
        <f t="shared" si="89"/>
        <v>448.06695928175736</v>
      </c>
    </row>
    <row r="951" spans="1:12" x14ac:dyDescent="0.25">
      <c r="A951">
        <v>949</v>
      </c>
      <c r="B951" s="1">
        <v>1896</v>
      </c>
      <c r="C951" s="1">
        <v>888.10810152818669</v>
      </c>
      <c r="D951">
        <f t="shared" si="85"/>
        <v>-444.05405076409335</v>
      </c>
      <c r="E951">
        <f t="shared" si="86"/>
        <v>444.05405076409335</v>
      </c>
      <c r="F951" s="7">
        <f t="shared" si="90"/>
        <v>3079292.9122232678</v>
      </c>
      <c r="G951" s="2">
        <f t="shared" si="87"/>
        <v>1896</v>
      </c>
      <c r="J951" s="2">
        <v>888.10810152818669</v>
      </c>
      <c r="K951" s="2">
        <f t="shared" si="88"/>
        <v>-444.05405076409335</v>
      </c>
      <c r="L951" s="2">
        <f t="shared" si="89"/>
        <v>444.05405076409335</v>
      </c>
    </row>
    <row r="952" spans="1:12" x14ac:dyDescent="0.25">
      <c r="A952">
        <v>950</v>
      </c>
      <c r="B952" s="1">
        <v>1898</v>
      </c>
      <c r="C952" s="1">
        <v>879.99090904395143</v>
      </c>
      <c r="D952">
        <f t="shared" si="85"/>
        <v>-439.99545452197572</v>
      </c>
      <c r="E952">
        <f t="shared" si="86"/>
        <v>439.99545452197572</v>
      </c>
      <c r="F952" s="7">
        <f t="shared" si="90"/>
        <v>3081061.0112338401</v>
      </c>
      <c r="G952" s="2">
        <f t="shared" si="87"/>
        <v>1898</v>
      </c>
      <c r="J952" s="2">
        <v>879.99090904395143</v>
      </c>
      <c r="K952" s="2">
        <f t="shared" si="88"/>
        <v>-439.99545452197572</v>
      </c>
      <c r="L952" s="2">
        <f t="shared" si="89"/>
        <v>439.99545452197572</v>
      </c>
    </row>
    <row r="953" spans="1:12" x14ac:dyDescent="0.25">
      <c r="A953">
        <v>951</v>
      </c>
      <c r="B953" s="1">
        <v>1900</v>
      </c>
      <c r="C953" s="1">
        <v>871.77978870813467</v>
      </c>
      <c r="D953">
        <f t="shared" si="85"/>
        <v>-435.88989435406734</v>
      </c>
      <c r="E953">
        <f t="shared" si="86"/>
        <v>435.88989435406734</v>
      </c>
      <c r="F953" s="7">
        <f t="shared" si="90"/>
        <v>3082812.7819315922</v>
      </c>
      <c r="G953" s="2">
        <f t="shared" si="87"/>
        <v>1900</v>
      </c>
      <c r="J953" s="2">
        <v>871.77978870813467</v>
      </c>
      <c r="K953" s="2">
        <f t="shared" si="88"/>
        <v>-435.88989435406734</v>
      </c>
      <c r="L953" s="2">
        <f t="shared" si="89"/>
        <v>435.88989435406734</v>
      </c>
    </row>
    <row r="954" spans="1:12" x14ac:dyDescent="0.25">
      <c r="A954">
        <v>952</v>
      </c>
      <c r="B954" s="1">
        <v>1902</v>
      </c>
      <c r="C954" s="1">
        <v>863.47206092611941</v>
      </c>
      <c r="D954">
        <f t="shared" si="85"/>
        <v>-431.73603046305971</v>
      </c>
      <c r="E954">
        <f t="shared" si="86"/>
        <v>431.73603046305971</v>
      </c>
      <c r="F954" s="7">
        <f t="shared" si="90"/>
        <v>3084548.0337812263</v>
      </c>
      <c r="G954" s="2">
        <f t="shared" si="87"/>
        <v>1902</v>
      </c>
      <c r="J954" s="2">
        <v>863.47206092611941</v>
      </c>
      <c r="K954" s="2">
        <f t="shared" si="88"/>
        <v>-431.73603046305971</v>
      </c>
      <c r="L954" s="2">
        <f t="shared" si="89"/>
        <v>431.73603046305971</v>
      </c>
    </row>
    <row r="955" spans="1:12" x14ac:dyDescent="0.25">
      <c r="A955">
        <v>953</v>
      </c>
      <c r="B955" s="1">
        <v>1904</v>
      </c>
      <c r="C955" s="1">
        <v>855.06490981679281</v>
      </c>
      <c r="D955">
        <f t="shared" si="85"/>
        <v>-427.5324549083964</v>
      </c>
      <c r="E955">
        <f t="shared" si="86"/>
        <v>427.5324549083964</v>
      </c>
      <c r="F955" s="7">
        <f t="shared" si="90"/>
        <v>3086266.5707519692</v>
      </c>
      <c r="G955" s="2">
        <f t="shared" si="87"/>
        <v>1904</v>
      </c>
      <c r="J955" s="2">
        <v>855.06490981679281</v>
      </c>
      <c r="K955" s="2">
        <f t="shared" si="88"/>
        <v>-427.5324549083964</v>
      </c>
      <c r="L955" s="2">
        <f t="shared" si="89"/>
        <v>427.5324549083964</v>
      </c>
    </row>
    <row r="956" spans="1:12" x14ac:dyDescent="0.25">
      <c r="A956">
        <v>954</v>
      </c>
      <c r="B956" s="1">
        <v>1906</v>
      </c>
      <c r="C956" s="1">
        <v>846.55537326272997</v>
      </c>
      <c r="D956">
        <f t="shared" si="85"/>
        <v>-423.27768663136499</v>
      </c>
      <c r="E956">
        <f t="shared" si="86"/>
        <v>423.27768663136499</v>
      </c>
      <c r="F956" s="7">
        <f t="shared" si="90"/>
        <v>3087968.1910350486</v>
      </c>
      <c r="G956" s="2">
        <f t="shared" si="87"/>
        <v>1906</v>
      </c>
      <c r="J956" s="2">
        <v>846.55537326272997</v>
      </c>
      <c r="K956" s="2">
        <f t="shared" si="88"/>
        <v>-423.27768663136499</v>
      </c>
      <c r="L956" s="2">
        <f t="shared" si="89"/>
        <v>423.27768663136499</v>
      </c>
    </row>
    <row r="957" spans="1:12" x14ac:dyDescent="0.25">
      <c r="A957">
        <v>955</v>
      </c>
      <c r="B957" s="1">
        <v>1908</v>
      </c>
      <c r="C957" s="1">
        <v>837.9403320046124</v>
      </c>
      <c r="D957">
        <f t="shared" si="85"/>
        <v>-418.9701660023062</v>
      </c>
      <c r="E957">
        <f t="shared" si="86"/>
        <v>418.9701660023062</v>
      </c>
      <c r="F957" s="7">
        <f t="shared" si="90"/>
        <v>3089652.686740316</v>
      </c>
      <c r="G957" s="2">
        <f t="shared" si="87"/>
        <v>1908</v>
      </c>
      <c r="J957" s="2">
        <v>837.9403320046124</v>
      </c>
      <c r="K957" s="2">
        <f t="shared" si="88"/>
        <v>-418.9701660023062</v>
      </c>
      <c r="L957" s="2">
        <f t="shared" si="89"/>
        <v>418.9701660023062</v>
      </c>
    </row>
    <row r="958" spans="1:12" x14ac:dyDescent="0.25">
      <c r="A958">
        <v>956</v>
      </c>
      <c r="B958" s="1">
        <v>1910</v>
      </c>
      <c r="C958" s="1">
        <v>829.21649766511518</v>
      </c>
      <c r="D958">
        <f t="shared" si="85"/>
        <v>-414.60824883255759</v>
      </c>
      <c r="E958">
        <f t="shared" si="86"/>
        <v>414.60824883255759</v>
      </c>
      <c r="F958" s="7">
        <f t="shared" si="90"/>
        <v>3091319.8435699856</v>
      </c>
      <c r="G958" s="2">
        <f t="shared" si="87"/>
        <v>1910</v>
      </c>
      <c r="J958" s="2">
        <v>829.21649766511518</v>
      </c>
      <c r="K958" s="2">
        <f t="shared" si="88"/>
        <v>-414.60824883255759</v>
      </c>
      <c r="L958" s="2">
        <f t="shared" si="89"/>
        <v>414.60824883255759</v>
      </c>
    </row>
    <row r="959" spans="1:12" x14ac:dyDescent="0.25">
      <c r="A959">
        <v>957</v>
      </c>
      <c r="B959" s="1">
        <v>1912</v>
      </c>
      <c r="C959" s="1">
        <v>820.38039957083322</v>
      </c>
      <c r="D959">
        <f t="shared" si="85"/>
        <v>-410.19019978541661</v>
      </c>
      <c r="E959">
        <f t="shared" si="86"/>
        <v>410.19019978541661</v>
      </c>
      <c r="F959" s="7">
        <f t="shared" si="90"/>
        <v>3092969.4404672217</v>
      </c>
      <c r="G959" s="2">
        <f t="shared" si="87"/>
        <v>1912</v>
      </c>
      <c r="J959" s="2">
        <v>820.38039957083322</v>
      </c>
      <c r="K959" s="2">
        <f t="shared" si="88"/>
        <v>-410.19019978541661</v>
      </c>
      <c r="L959" s="2">
        <f t="shared" si="89"/>
        <v>410.19019978541661</v>
      </c>
    </row>
    <row r="960" spans="1:12" x14ac:dyDescent="0.25">
      <c r="A960">
        <v>958</v>
      </c>
      <c r="B960" s="1">
        <v>1914</v>
      </c>
      <c r="C960" s="1">
        <v>811.428370221303</v>
      </c>
      <c r="D960">
        <f t="shared" si="85"/>
        <v>-405.7141851106515</v>
      </c>
      <c r="E960">
        <f t="shared" si="86"/>
        <v>405.7141851106515</v>
      </c>
      <c r="F960" s="7">
        <f t="shared" si="90"/>
        <v>3094601.249237014</v>
      </c>
      <c r="G960" s="2">
        <f t="shared" si="87"/>
        <v>1914</v>
      </c>
      <c r="J960" s="2">
        <v>811.428370221303</v>
      </c>
      <c r="K960" s="2">
        <f t="shared" si="88"/>
        <v>-405.7141851106515</v>
      </c>
      <c r="L960" s="2">
        <f t="shared" si="89"/>
        <v>405.7141851106515</v>
      </c>
    </row>
    <row r="961" spans="1:12" x14ac:dyDescent="0.25">
      <c r="A961">
        <v>959</v>
      </c>
      <c r="B961" s="1">
        <v>1916</v>
      </c>
      <c r="C961" s="1">
        <v>802.35652923123894</v>
      </c>
      <c r="D961">
        <f t="shared" si="85"/>
        <v>-401.17826461561947</v>
      </c>
      <c r="E961">
        <f t="shared" si="86"/>
        <v>401.17826461561947</v>
      </c>
      <c r="F961" s="7">
        <f t="shared" si="90"/>
        <v>3096215.0341364667</v>
      </c>
      <c r="G961" s="2">
        <f t="shared" si="87"/>
        <v>1916</v>
      </c>
      <c r="J961" s="2">
        <v>802.35652923123894</v>
      </c>
      <c r="K961" s="2">
        <f t="shared" si="88"/>
        <v>-401.17826461561947</v>
      </c>
      <c r="L961" s="2">
        <f t="shared" si="89"/>
        <v>401.17826461561947</v>
      </c>
    </row>
    <row r="962" spans="1:12" x14ac:dyDescent="0.25">
      <c r="A962">
        <v>960</v>
      </c>
      <c r="B962" s="1">
        <v>1918</v>
      </c>
      <c r="C962" s="1">
        <v>793.16076554504389</v>
      </c>
      <c r="D962">
        <f t="shared" si="85"/>
        <v>-396.58038277252194</v>
      </c>
      <c r="E962">
        <f t="shared" si="86"/>
        <v>396.58038277252194</v>
      </c>
      <c r="F962" s="7">
        <f t="shared" si="90"/>
        <v>3097810.5514312428</v>
      </c>
      <c r="G962" s="2">
        <f t="shared" si="87"/>
        <v>1918</v>
      </c>
      <c r="J962" s="2">
        <v>793.16076554504389</v>
      </c>
      <c r="K962" s="2">
        <f t="shared" si="88"/>
        <v>-396.58038277252194</v>
      </c>
      <c r="L962" s="2">
        <f t="shared" si="89"/>
        <v>396.58038277252194</v>
      </c>
    </row>
    <row r="963" spans="1:12" x14ac:dyDescent="0.25">
      <c r="A963">
        <v>961</v>
      </c>
      <c r="B963" s="1">
        <v>1920</v>
      </c>
      <c r="C963" s="1">
        <v>783.83671769061698</v>
      </c>
      <c r="D963">
        <f t="shared" si="85"/>
        <v>-391.91835884530849</v>
      </c>
      <c r="E963">
        <f t="shared" si="86"/>
        <v>391.91835884530849</v>
      </c>
      <c r="F963" s="7">
        <f t="shared" si="90"/>
        <v>3099387.5489144786</v>
      </c>
      <c r="G963" s="2">
        <f t="shared" si="87"/>
        <v>1920</v>
      </c>
      <c r="J963" s="2">
        <v>783.83671769061698</v>
      </c>
      <c r="K963" s="2">
        <f t="shared" si="88"/>
        <v>-391.91835884530849</v>
      </c>
      <c r="L963" s="2">
        <f t="shared" si="89"/>
        <v>391.91835884530849</v>
      </c>
    </row>
    <row r="964" spans="1:12" x14ac:dyDescent="0.25">
      <c r="A964">
        <v>962</v>
      </c>
      <c r="B964" s="1">
        <v>1922</v>
      </c>
      <c r="C964" s="1">
        <v>774.37975180140143</v>
      </c>
      <c r="D964">
        <f t="shared" ref="D964:D1003" si="91">IF(A964&lt;=COUNT(B:B),-1*C964/2,NA())</f>
        <v>-387.18987590070071</v>
      </c>
      <c r="E964">
        <f t="shared" ref="E964:E1003" si="92">IF(A964&lt;=COUNT(B:B),C964/2,NA())</f>
        <v>387.18987590070071</v>
      </c>
      <c r="F964" s="7">
        <f t="shared" si="90"/>
        <v>3100945.7653839705</v>
      </c>
      <c r="G964" s="2">
        <f t="shared" ref="G964:G1003" si="93">B964-$B$3</f>
        <v>1922</v>
      </c>
      <c r="J964" s="2">
        <v>774.37975180140143</v>
      </c>
      <c r="K964" s="2">
        <f t="shared" ref="K964:K1003" si="94">IF(A964&lt;=COUNT(B:B),$J964/2*-1,NA())</f>
        <v>-387.18987590070071</v>
      </c>
      <c r="L964" s="2">
        <f t="shared" ref="L964:L1003" si="95">IF(A964&lt;=COUNT(B:B),$J964/2,NA())</f>
        <v>387.18987590070071</v>
      </c>
    </row>
    <row r="965" spans="1:12" x14ac:dyDescent="0.25">
      <c r="A965">
        <v>963</v>
      </c>
      <c r="B965" s="1">
        <v>1924</v>
      </c>
      <c r="C965" s="1">
        <v>764.78493709016004</v>
      </c>
      <c r="D965">
        <f t="shared" si="91"/>
        <v>-382.39246854508002</v>
      </c>
      <c r="E965">
        <f t="shared" si="92"/>
        <v>382.39246854508002</v>
      </c>
      <c r="F965" s="7">
        <f t="shared" ref="F965:F1003" si="96">IF(A964&lt;COUNT(B:B),(($C965+$C964)*(B965-B964)/2)+F964,"")</f>
        <v>3102484.9300728622</v>
      </c>
      <c r="G965" s="2">
        <f t="shared" si="93"/>
        <v>1924</v>
      </c>
      <c r="J965" s="2">
        <v>764.78493709016004</v>
      </c>
      <c r="K965" s="2">
        <f t="shared" si="94"/>
        <v>-382.39246854508002</v>
      </c>
      <c r="L965" s="2">
        <f t="shared" si="95"/>
        <v>382.39246854508002</v>
      </c>
    </row>
    <row r="966" spans="1:12" x14ac:dyDescent="0.25">
      <c r="A966">
        <v>964</v>
      </c>
      <c r="B966" s="1">
        <v>1926</v>
      </c>
      <c r="C966" s="1">
        <v>755.04701840348991</v>
      </c>
      <c r="D966">
        <f t="shared" si="91"/>
        <v>-377.52350920174496</v>
      </c>
      <c r="E966">
        <f t="shared" si="92"/>
        <v>377.52350920174496</v>
      </c>
      <c r="F966" s="7">
        <f t="shared" si="96"/>
        <v>3104004.7620283556</v>
      </c>
      <c r="G966" s="2">
        <f t="shared" si="93"/>
        <v>1926</v>
      </c>
      <c r="J966" s="2">
        <v>755.04701840348991</v>
      </c>
      <c r="K966" s="2">
        <f t="shared" si="94"/>
        <v>-377.52350920174496</v>
      </c>
      <c r="L966" s="2">
        <f t="shared" si="95"/>
        <v>377.52350920174496</v>
      </c>
    </row>
    <row r="967" spans="1:12" x14ac:dyDescent="0.25">
      <c r="A967">
        <v>965</v>
      </c>
      <c r="B967" s="1">
        <v>1928</v>
      </c>
      <c r="C967" s="1">
        <v>745.16038542048113</v>
      </c>
      <c r="D967">
        <f t="shared" si="91"/>
        <v>-372.58019271024057</v>
      </c>
      <c r="E967">
        <f t="shared" si="92"/>
        <v>372.58019271024057</v>
      </c>
      <c r="F967" s="7">
        <f t="shared" si="96"/>
        <v>3105504.9694321798</v>
      </c>
      <c r="G967" s="2">
        <f t="shared" si="93"/>
        <v>1928</v>
      </c>
      <c r="J967" s="2">
        <v>745.16038542048113</v>
      </c>
      <c r="K967" s="2">
        <f t="shared" si="94"/>
        <v>-372.58019271024057</v>
      </c>
      <c r="L967" s="2">
        <f t="shared" si="95"/>
        <v>372.58019271024057</v>
      </c>
    </row>
    <row r="968" spans="1:12" x14ac:dyDescent="0.25">
      <c r="A968">
        <v>966</v>
      </c>
      <c r="B968" s="1">
        <v>1930</v>
      </c>
      <c r="C968" s="1">
        <v>735.11903797956427</v>
      </c>
      <c r="D968">
        <f t="shared" si="91"/>
        <v>-367.55951898978213</v>
      </c>
      <c r="E968">
        <f t="shared" si="92"/>
        <v>367.55951898978213</v>
      </c>
      <c r="F968" s="7">
        <f t="shared" si="96"/>
        <v>3106985.2488555796</v>
      </c>
      <c r="G968" s="2">
        <f t="shared" si="93"/>
        <v>1930</v>
      </c>
      <c r="J968" s="2">
        <v>735.11903797956427</v>
      </c>
      <c r="K968" s="2">
        <f t="shared" si="94"/>
        <v>-367.55951898978213</v>
      </c>
      <c r="L968" s="2">
        <f t="shared" si="95"/>
        <v>367.55951898978213</v>
      </c>
    </row>
    <row r="969" spans="1:12" x14ac:dyDescent="0.25">
      <c r="A969">
        <v>967</v>
      </c>
      <c r="B969" s="1">
        <v>1932</v>
      </c>
      <c r="C969" s="1">
        <v>724.91654692109216</v>
      </c>
      <c r="D969">
        <f t="shared" si="91"/>
        <v>-362.45827346054608</v>
      </c>
      <c r="E969">
        <f t="shared" si="92"/>
        <v>362.45827346054608</v>
      </c>
      <c r="F969" s="7">
        <f t="shared" si="96"/>
        <v>3108445.2844404802</v>
      </c>
      <c r="G969" s="2">
        <f t="shared" si="93"/>
        <v>1932</v>
      </c>
      <c r="J969" s="2">
        <v>724.91654692109216</v>
      </c>
      <c r="K969" s="2">
        <f t="shared" si="94"/>
        <v>-362.45827346054608</v>
      </c>
      <c r="L969" s="2">
        <f t="shared" si="95"/>
        <v>362.45827346054608</v>
      </c>
    </row>
    <row r="970" spans="1:12" x14ac:dyDescent="0.25">
      <c r="A970">
        <v>968</v>
      </c>
      <c r="B970" s="1">
        <v>1934</v>
      </c>
      <c r="C970" s="1">
        <v>714.54600971525974</v>
      </c>
      <c r="D970">
        <f t="shared" si="91"/>
        <v>-357.27300485762987</v>
      </c>
      <c r="E970">
        <f t="shared" si="92"/>
        <v>357.27300485762987</v>
      </c>
      <c r="F970" s="7">
        <f t="shared" si="96"/>
        <v>3109884.7469971166</v>
      </c>
      <c r="G970" s="2">
        <f t="shared" si="93"/>
        <v>1934</v>
      </c>
      <c r="J970" s="2">
        <v>714.54600971525974</v>
      </c>
      <c r="K970" s="2">
        <f t="shared" si="94"/>
        <v>-357.27300485762987</v>
      </c>
      <c r="L970" s="2">
        <f t="shared" si="95"/>
        <v>357.27300485762987</v>
      </c>
    </row>
    <row r="971" spans="1:12" x14ac:dyDescent="0.25">
      <c r="A971">
        <v>969</v>
      </c>
      <c r="B971" s="1">
        <v>1936</v>
      </c>
      <c r="C971" s="1">
        <v>704</v>
      </c>
      <c r="D971">
        <f t="shared" si="91"/>
        <v>-352</v>
      </c>
      <c r="E971">
        <f t="shared" si="92"/>
        <v>352</v>
      </c>
      <c r="F971" s="7">
        <f t="shared" si="96"/>
        <v>3111303.2930068318</v>
      </c>
      <c r="G971" s="2">
        <f t="shared" si="93"/>
        <v>1936</v>
      </c>
      <c r="J971" s="2">
        <v>704</v>
      </c>
      <c r="K971" s="2">
        <f t="shared" si="94"/>
        <v>-352</v>
      </c>
      <c r="L971" s="2">
        <f t="shared" si="95"/>
        <v>352</v>
      </c>
    </row>
    <row r="972" spans="1:12" x14ac:dyDescent="0.25">
      <c r="A972">
        <v>970</v>
      </c>
      <c r="B972" s="1">
        <v>1938</v>
      </c>
      <c r="C972" s="1">
        <v>693.27050997428125</v>
      </c>
      <c r="D972">
        <f t="shared" si="91"/>
        <v>-346.63525498714063</v>
      </c>
      <c r="E972">
        <f t="shared" si="92"/>
        <v>346.63525498714063</v>
      </c>
      <c r="F972" s="7">
        <f t="shared" si="96"/>
        <v>3112700.5635168059</v>
      </c>
      <c r="G972" s="2">
        <f t="shared" si="93"/>
        <v>1938</v>
      </c>
      <c r="J972" s="2">
        <v>693.27050997428125</v>
      </c>
      <c r="K972" s="2">
        <f t="shared" si="94"/>
        <v>-346.63525498714063</v>
      </c>
      <c r="L972" s="2">
        <f t="shared" si="95"/>
        <v>346.63525498714063</v>
      </c>
    </row>
    <row r="973" spans="1:12" x14ac:dyDescent="0.25">
      <c r="A973">
        <v>971</v>
      </c>
      <c r="B973" s="1">
        <v>1940</v>
      </c>
      <c r="C973" s="1">
        <v>682.34888436927918</v>
      </c>
      <c r="D973">
        <f t="shared" si="91"/>
        <v>-341.17444218463959</v>
      </c>
      <c r="E973">
        <f t="shared" si="92"/>
        <v>341.17444218463959</v>
      </c>
      <c r="F973" s="7">
        <f t="shared" si="96"/>
        <v>3114076.1829111492</v>
      </c>
      <c r="G973" s="2">
        <f t="shared" si="93"/>
        <v>1940</v>
      </c>
      <c r="J973" s="2">
        <v>682.34888436927918</v>
      </c>
      <c r="K973" s="2">
        <f t="shared" si="94"/>
        <v>-341.17444218463959</v>
      </c>
      <c r="L973" s="2">
        <f t="shared" si="95"/>
        <v>341.17444218463959</v>
      </c>
    </row>
    <row r="974" spans="1:12" x14ac:dyDescent="0.25">
      <c r="A974">
        <v>972</v>
      </c>
      <c r="B974" s="1">
        <v>1942</v>
      </c>
      <c r="C974" s="1">
        <v>671.22574444072097</v>
      </c>
      <c r="D974">
        <f t="shared" si="91"/>
        <v>-335.61287222036049</v>
      </c>
      <c r="E974">
        <f t="shared" si="92"/>
        <v>335.61287222036049</v>
      </c>
      <c r="F974" s="7">
        <f t="shared" si="96"/>
        <v>3115429.7575399592</v>
      </c>
      <c r="G974" s="2">
        <f t="shared" si="93"/>
        <v>1942</v>
      </c>
      <c r="J974" s="2">
        <v>671.22574444072097</v>
      </c>
      <c r="K974" s="2">
        <f t="shared" si="94"/>
        <v>-335.61287222036049</v>
      </c>
      <c r="L974" s="2">
        <f t="shared" si="95"/>
        <v>335.61287222036049</v>
      </c>
    </row>
    <row r="975" spans="1:12" x14ac:dyDescent="0.25">
      <c r="A975">
        <v>973</v>
      </c>
      <c r="B975" s="1">
        <v>1944</v>
      </c>
      <c r="C975" s="1">
        <v>659.89090007364098</v>
      </c>
      <c r="D975">
        <f t="shared" si="91"/>
        <v>-329.94545003682049</v>
      </c>
      <c r="E975">
        <f t="shared" si="92"/>
        <v>329.94545003682049</v>
      </c>
      <c r="F975" s="7">
        <f t="shared" si="96"/>
        <v>3116760.8741844734</v>
      </c>
      <c r="G975" s="2">
        <f t="shared" si="93"/>
        <v>1944</v>
      </c>
      <c r="J975" s="2">
        <v>659.89090007364098</v>
      </c>
      <c r="K975" s="2">
        <f t="shared" si="94"/>
        <v>-329.94545003682049</v>
      </c>
      <c r="L975" s="2">
        <f t="shared" si="95"/>
        <v>329.94545003682049</v>
      </c>
    </row>
    <row r="976" spans="1:12" x14ac:dyDescent="0.25">
      <c r="A976">
        <v>974</v>
      </c>
      <c r="B976" s="1">
        <v>1946</v>
      </c>
      <c r="C976" s="1">
        <v>648.33324764352471</v>
      </c>
      <c r="D976">
        <f t="shared" si="91"/>
        <v>-324.16662382176236</v>
      </c>
      <c r="E976">
        <f t="shared" si="92"/>
        <v>324.16662382176236</v>
      </c>
      <c r="F976" s="7">
        <f t="shared" si="96"/>
        <v>3118069.0983321904</v>
      </c>
      <c r="G976" s="2">
        <f t="shared" si="93"/>
        <v>1946</v>
      </c>
      <c r="J976" s="2">
        <v>648.33324764352471</v>
      </c>
      <c r="K976" s="2">
        <f t="shared" si="94"/>
        <v>-324.16662382176236</v>
      </c>
      <c r="L976" s="2">
        <f t="shared" si="95"/>
        <v>324.16662382176236</v>
      </c>
    </row>
    <row r="977" spans="1:12" x14ac:dyDescent="0.25">
      <c r="A977">
        <v>975</v>
      </c>
      <c r="B977" s="1">
        <v>1948</v>
      </c>
      <c r="C977" s="1">
        <v>636.54065070504339</v>
      </c>
      <c r="D977">
        <f t="shared" si="91"/>
        <v>-318.2703253525217</v>
      </c>
      <c r="E977">
        <f t="shared" si="92"/>
        <v>318.2703253525217</v>
      </c>
      <c r="F977" s="7">
        <f t="shared" si="96"/>
        <v>3119353.9722305392</v>
      </c>
      <c r="G977" s="2">
        <f t="shared" si="93"/>
        <v>1948</v>
      </c>
      <c r="J977" s="2">
        <v>636.54065070504339</v>
      </c>
      <c r="K977" s="2">
        <f t="shared" si="94"/>
        <v>-318.2703253525217</v>
      </c>
      <c r="L977" s="2">
        <f t="shared" si="95"/>
        <v>318.2703253525217</v>
      </c>
    </row>
    <row r="978" spans="1:12" x14ac:dyDescent="0.25">
      <c r="A978">
        <v>976</v>
      </c>
      <c r="B978" s="1">
        <v>1950</v>
      </c>
      <c r="C978" s="1">
        <v>624.49979983983985</v>
      </c>
      <c r="D978">
        <f t="shared" si="91"/>
        <v>-312.24989991991993</v>
      </c>
      <c r="E978">
        <f t="shared" si="92"/>
        <v>312.24989991991993</v>
      </c>
      <c r="F978" s="7">
        <f t="shared" si="96"/>
        <v>3120615.0126810842</v>
      </c>
      <c r="G978" s="2">
        <f t="shared" si="93"/>
        <v>1950</v>
      </c>
      <c r="J978" s="2">
        <v>624.49979983983985</v>
      </c>
      <c r="K978" s="2">
        <f t="shared" si="94"/>
        <v>-312.24989991991993</v>
      </c>
      <c r="L978" s="2">
        <f t="shared" si="95"/>
        <v>312.24989991991993</v>
      </c>
    </row>
    <row r="979" spans="1:12" x14ac:dyDescent="0.25">
      <c r="A979">
        <v>977</v>
      </c>
      <c r="B979" s="1">
        <v>1952</v>
      </c>
      <c r="C979" s="1">
        <v>612.19604703068774</v>
      </c>
      <c r="D979">
        <f t="shared" si="91"/>
        <v>-306.09802351534387</v>
      </c>
      <c r="E979">
        <f t="shared" si="92"/>
        <v>306.09802351534387</v>
      </c>
      <c r="F979" s="7">
        <f t="shared" si="96"/>
        <v>3121851.7085279548</v>
      </c>
      <c r="G979" s="2">
        <f t="shared" si="93"/>
        <v>1952</v>
      </c>
      <c r="J979" s="2">
        <v>612.19604703068774</v>
      </c>
      <c r="K979" s="2">
        <f t="shared" si="94"/>
        <v>-306.09802351534387</v>
      </c>
      <c r="L979" s="2">
        <f t="shared" si="95"/>
        <v>306.09802351534387</v>
      </c>
    </row>
    <row r="980" spans="1:12" x14ac:dyDescent="0.25">
      <c r="A980">
        <v>978</v>
      </c>
      <c r="B980" s="1">
        <v>1954</v>
      </c>
      <c r="C980" s="1">
        <v>599.61320866038295</v>
      </c>
      <c r="D980">
        <f t="shared" si="91"/>
        <v>-299.80660433019148</v>
      </c>
      <c r="E980">
        <f t="shared" si="92"/>
        <v>299.80660433019148</v>
      </c>
      <c r="F980" s="7">
        <f t="shared" si="96"/>
        <v>3123063.517783646</v>
      </c>
      <c r="G980" s="2">
        <f t="shared" si="93"/>
        <v>1954</v>
      </c>
      <c r="J980" s="2">
        <v>599.61320866038295</v>
      </c>
      <c r="K980" s="2">
        <f t="shared" si="94"/>
        <v>-299.80660433019148</v>
      </c>
      <c r="L980" s="2">
        <f t="shared" si="95"/>
        <v>299.80660433019148</v>
      </c>
    </row>
    <row r="981" spans="1:12" x14ac:dyDescent="0.25">
      <c r="A981">
        <v>979</v>
      </c>
      <c r="B981" s="1">
        <v>1956</v>
      </c>
      <c r="C981" s="1">
        <v>586.73332954588489</v>
      </c>
      <c r="D981">
        <f t="shared" si="91"/>
        <v>-293.36666477294244</v>
      </c>
      <c r="E981">
        <f t="shared" si="92"/>
        <v>293.36666477294244</v>
      </c>
      <c r="F981" s="7">
        <f t="shared" si="96"/>
        <v>3124249.8643218521</v>
      </c>
      <c r="G981" s="2">
        <f t="shared" si="93"/>
        <v>1956</v>
      </c>
      <c r="J981" s="2">
        <v>586.73332954588489</v>
      </c>
      <c r="K981" s="2">
        <f t="shared" si="94"/>
        <v>-293.36666477294244</v>
      </c>
      <c r="L981" s="2">
        <f t="shared" si="95"/>
        <v>293.36666477294244</v>
      </c>
    </row>
    <row r="982" spans="1:12" x14ac:dyDescent="0.25">
      <c r="A982">
        <v>980</v>
      </c>
      <c r="B982" s="1">
        <v>1958</v>
      </c>
      <c r="C982" s="1">
        <v>573.53639814749329</v>
      </c>
      <c r="D982">
        <f t="shared" si="91"/>
        <v>-286.76819907374664</v>
      </c>
      <c r="E982">
        <f t="shared" si="92"/>
        <v>286.76819907374664</v>
      </c>
      <c r="F982" s="7">
        <f t="shared" si="96"/>
        <v>3125410.1340495455</v>
      </c>
      <c r="G982" s="2">
        <f t="shared" si="93"/>
        <v>1958</v>
      </c>
      <c r="J982" s="2">
        <v>573.53639814749329</v>
      </c>
      <c r="K982" s="2">
        <f t="shared" si="94"/>
        <v>-286.76819907374664</v>
      </c>
      <c r="L982" s="2">
        <f t="shared" si="95"/>
        <v>286.76819907374664</v>
      </c>
    </row>
    <row r="983" spans="1:12" x14ac:dyDescent="0.25">
      <c r="A983">
        <v>981</v>
      </c>
      <c r="B983" s="1">
        <v>1960</v>
      </c>
      <c r="C983" s="1">
        <v>560</v>
      </c>
      <c r="D983">
        <f t="shared" si="91"/>
        <v>-280</v>
      </c>
      <c r="E983">
        <f t="shared" si="92"/>
        <v>280</v>
      </c>
      <c r="F983" s="7">
        <f t="shared" si="96"/>
        <v>3126543.6704476932</v>
      </c>
      <c r="G983" s="2">
        <f t="shared" si="93"/>
        <v>1960</v>
      </c>
      <c r="J983" s="2">
        <v>560</v>
      </c>
      <c r="K983" s="2">
        <f t="shared" si="94"/>
        <v>-280</v>
      </c>
      <c r="L983" s="2">
        <f t="shared" si="95"/>
        <v>280</v>
      </c>
    </row>
    <row r="984" spans="1:12" x14ac:dyDescent="0.25">
      <c r="A984">
        <v>982</v>
      </c>
      <c r="B984" s="1">
        <v>1962</v>
      </c>
      <c r="C984" s="1">
        <v>546.09889214317218</v>
      </c>
      <c r="D984">
        <f t="shared" si="91"/>
        <v>-273.04944607158609</v>
      </c>
      <c r="E984">
        <f t="shared" si="92"/>
        <v>273.04944607158609</v>
      </c>
      <c r="F984" s="7">
        <f t="shared" si="96"/>
        <v>3127649.7693398362</v>
      </c>
      <c r="G984" s="2">
        <f t="shared" si="93"/>
        <v>1962</v>
      </c>
      <c r="J984" s="2">
        <v>546.09889214317218</v>
      </c>
      <c r="K984" s="2">
        <f t="shared" si="94"/>
        <v>-273.04944607158609</v>
      </c>
      <c r="L984" s="2">
        <f t="shared" si="95"/>
        <v>273.04944607158609</v>
      </c>
    </row>
    <row r="985" spans="1:12" x14ac:dyDescent="0.25">
      <c r="A985">
        <v>983</v>
      </c>
      <c r="B985" s="1">
        <v>1964</v>
      </c>
      <c r="C985" s="1">
        <v>531.8044753478481</v>
      </c>
      <c r="D985">
        <f t="shared" si="91"/>
        <v>-265.90223767392405</v>
      </c>
      <c r="E985">
        <f t="shared" si="92"/>
        <v>265.90223767392405</v>
      </c>
      <c r="F985" s="7">
        <f t="shared" si="96"/>
        <v>3128727.6727073272</v>
      </c>
      <c r="G985" s="2">
        <f t="shared" si="93"/>
        <v>1964</v>
      </c>
      <c r="J985" s="2">
        <v>531.8044753478481</v>
      </c>
      <c r="K985" s="2">
        <f t="shared" si="94"/>
        <v>-265.90223767392405</v>
      </c>
      <c r="L985" s="2">
        <f t="shared" si="95"/>
        <v>265.90223767392405</v>
      </c>
    </row>
    <row r="986" spans="1:12" x14ac:dyDescent="0.25">
      <c r="A986">
        <v>984</v>
      </c>
      <c r="B986" s="1">
        <v>1966</v>
      </c>
      <c r="C986" s="1">
        <v>517.08413241947392</v>
      </c>
      <c r="D986">
        <f t="shared" si="91"/>
        <v>-258.54206620973696</v>
      </c>
      <c r="E986">
        <f t="shared" si="92"/>
        <v>258.54206620973696</v>
      </c>
      <c r="F986" s="7">
        <f t="shared" si="96"/>
        <v>3129776.5613150946</v>
      </c>
      <c r="G986" s="2">
        <f t="shared" si="93"/>
        <v>1966</v>
      </c>
      <c r="J986" s="2">
        <v>517.08413241947392</v>
      </c>
      <c r="K986" s="2">
        <f t="shared" si="94"/>
        <v>-258.54206620973696</v>
      </c>
      <c r="L986" s="2">
        <f t="shared" si="95"/>
        <v>258.54206620973696</v>
      </c>
    </row>
    <row r="987" spans="1:12" x14ac:dyDescent="0.25">
      <c r="A987">
        <v>985</v>
      </c>
      <c r="B987" s="1">
        <v>1968</v>
      </c>
      <c r="C987" s="1">
        <v>501.90038852345992</v>
      </c>
      <c r="D987">
        <f t="shared" si="91"/>
        <v>-250.95019426172996</v>
      </c>
      <c r="E987">
        <f t="shared" si="92"/>
        <v>250.95019426172996</v>
      </c>
      <c r="F987" s="7">
        <f t="shared" si="96"/>
        <v>3130795.5458360375</v>
      </c>
      <c r="G987" s="2">
        <f t="shared" si="93"/>
        <v>1968</v>
      </c>
      <c r="J987" s="2">
        <v>501.90038852345992</v>
      </c>
      <c r="K987" s="2">
        <f t="shared" si="94"/>
        <v>-250.95019426172996</v>
      </c>
      <c r="L987" s="2">
        <f t="shared" si="95"/>
        <v>250.95019426172996</v>
      </c>
    </row>
    <row r="988" spans="1:12" x14ac:dyDescent="0.25">
      <c r="A988">
        <v>986</v>
      </c>
      <c r="B988" s="1">
        <v>1970</v>
      </c>
      <c r="C988" s="1">
        <v>486.20983124572871</v>
      </c>
      <c r="D988">
        <f t="shared" si="91"/>
        <v>-243.10491562286435</v>
      </c>
      <c r="E988">
        <f t="shared" si="92"/>
        <v>243.10491562286435</v>
      </c>
      <c r="F988" s="7">
        <f t="shared" si="96"/>
        <v>3131783.6560558067</v>
      </c>
      <c r="G988" s="2">
        <f t="shared" si="93"/>
        <v>1970</v>
      </c>
      <c r="J988" s="2">
        <v>486.20983124572871</v>
      </c>
      <c r="K988" s="2">
        <f t="shared" si="94"/>
        <v>-243.10491562286435</v>
      </c>
      <c r="L988" s="2">
        <f t="shared" si="95"/>
        <v>243.10491562286435</v>
      </c>
    </row>
    <row r="989" spans="1:12" x14ac:dyDescent="0.25">
      <c r="A989">
        <v>987</v>
      </c>
      <c r="B989" s="1">
        <v>1972</v>
      </c>
      <c r="C989" s="1">
        <v>469.96170056718449</v>
      </c>
      <c r="D989">
        <f t="shared" si="91"/>
        <v>-234.98085028359225</v>
      </c>
      <c r="E989">
        <f t="shared" si="92"/>
        <v>234.98085028359225</v>
      </c>
      <c r="F989" s="7">
        <f t="shared" si="96"/>
        <v>3132739.8275876194</v>
      </c>
      <c r="G989" s="2">
        <f t="shared" si="93"/>
        <v>1972</v>
      </c>
      <c r="J989" s="2">
        <v>469.96170056718449</v>
      </c>
      <c r="K989" s="2">
        <f t="shared" si="94"/>
        <v>-234.98085028359225</v>
      </c>
      <c r="L989" s="2">
        <f t="shared" si="95"/>
        <v>234.98085028359225</v>
      </c>
    </row>
    <row r="990" spans="1:12" x14ac:dyDescent="0.25">
      <c r="A990">
        <v>988</v>
      </c>
      <c r="B990" s="1">
        <v>1974</v>
      </c>
      <c r="C990" s="1">
        <v>453.09601631442314</v>
      </c>
      <c r="D990">
        <f t="shared" si="91"/>
        <v>-226.54800815721157</v>
      </c>
      <c r="E990">
        <f t="shared" si="92"/>
        <v>226.54800815721157</v>
      </c>
      <c r="F990" s="7">
        <f t="shared" si="96"/>
        <v>3133662.8853045008</v>
      </c>
      <c r="G990" s="2">
        <f t="shared" si="93"/>
        <v>1974</v>
      </c>
      <c r="J990" s="2">
        <v>453.09601631442314</v>
      </c>
      <c r="K990" s="2">
        <f t="shared" si="94"/>
        <v>-226.54800815721157</v>
      </c>
      <c r="L990" s="2">
        <f t="shared" si="95"/>
        <v>226.54800815721157</v>
      </c>
    </row>
    <row r="991" spans="1:12" x14ac:dyDescent="0.25">
      <c r="A991">
        <v>989</v>
      </c>
      <c r="B991" s="1">
        <v>1976</v>
      </c>
      <c r="C991" s="1">
        <v>435.54104284211837</v>
      </c>
      <c r="D991">
        <f t="shared" si="91"/>
        <v>-217.77052142105919</v>
      </c>
      <c r="E991">
        <f t="shared" si="92"/>
        <v>217.77052142105919</v>
      </c>
      <c r="F991" s="7">
        <f t="shared" si="96"/>
        <v>3134551.5223636571</v>
      </c>
      <c r="G991" s="2">
        <f t="shared" si="93"/>
        <v>1976</v>
      </c>
      <c r="J991" s="2">
        <v>435.54104284211837</v>
      </c>
      <c r="K991" s="2">
        <f t="shared" si="94"/>
        <v>-217.77052142105919</v>
      </c>
      <c r="L991" s="2">
        <f t="shared" si="95"/>
        <v>217.77052142105919</v>
      </c>
    </row>
    <row r="992" spans="1:12" x14ac:dyDescent="0.25">
      <c r="A992">
        <v>990</v>
      </c>
      <c r="B992" s="1">
        <v>1978</v>
      </c>
      <c r="C992" s="1">
        <v>417.20977936764615</v>
      </c>
      <c r="D992">
        <f t="shared" si="91"/>
        <v>-208.60488968382307</v>
      </c>
      <c r="E992">
        <f t="shared" si="92"/>
        <v>208.60488968382307</v>
      </c>
      <c r="F992" s="7">
        <f t="shared" si="96"/>
        <v>3135404.2731858669</v>
      </c>
      <c r="G992" s="2">
        <f t="shared" si="93"/>
        <v>1978</v>
      </c>
      <c r="J992" s="2">
        <v>417.20977936764615</v>
      </c>
      <c r="K992" s="2">
        <f t="shared" si="94"/>
        <v>-208.60488968382307</v>
      </c>
      <c r="L992" s="2">
        <f t="shared" si="95"/>
        <v>208.60488968382307</v>
      </c>
    </row>
    <row r="993" spans="1:12" x14ac:dyDescent="0.25">
      <c r="A993">
        <v>991</v>
      </c>
      <c r="B993" s="1">
        <v>1980</v>
      </c>
      <c r="C993" s="1">
        <v>397.99497484264799</v>
      </c>
      <c r="D993">
        <f t="shared" si="91"/>
        <v>-198.997487421324</v>
      </c>
      <c r="E993">
        <f t="shared" si="92"/>
        <v>198.997487421324</v>
      </c>
      <c r="F993" s="7">
        <f t="shared" si="96"/>
        <v>3136219.477940077</v>
      </c>
      <c r="G993" s="2">
        <f t="shared" si="93"/>
        <v>1980</v>
      </c>
      <c r="J993" s="2">
        <v>397.99497484264799</v>
      </c>
      <c r="K993" s="2">
        <f t="shared" si="94"/>
        <v>-198.997487421324</v>
      </c>
      <c r="L993" s="2">
        <f t="shared" si="95"/>
        <v>198.997487421324</v>
      </c>
    </row>
    <row r="994" spans="1:12" x14ac:dyDescent="0.25">
      <c r="A994">
        <v>992</v>
      </c>
      <c r="B994" s="1">
        <v>1982</v>
      </c>
      <c r="C994" s="1">
        <v>377.76182972873266</v>
      </c>
      <c r="D994">
        <f t="shared" si="91"/>
        <v>-188.88091486436633</v>
      </c>
      <c r="E994">
        <f t="shared" si="92"/>
        <v>188.88091486436633</v>
      </c>
      <c r="F994" s="7">
        <f t="shared" si="96"/>
        <v>3136995.2347446484</v>
      </c>
      <c r="G994" s="2">
        <f t="shared" si="93"/>
        <v>1982</v>
      </c>
      <c r="J994" s="2">
        <v>377.76182972873266</v>
      </c>
      <c r="K994" s="2">
        <f t="shared" si="94"/>
        <v>-188.88091486436633</v>
      </c>
      <c r="L994" s="2">
        <f t="shared" si="95"/>
        <v>188.88091486436633</v>
      </c>
    </row>
    <row r="995" spans="1:12" x14ac:dyDescent="0.25">
      <c r="A995">
        <v>993</v>
      </c>
      <c r="B995" s="1">
        <v>1984</v>
      </c>
      <c r="C995" s="1">
        <v>356.33691922112138</v>
      </c>
      <c r="D995">
        <f t="shared" si="91"/>
        <v>-178.16845961056069</v>
      </c>
      <c r="E995">
        <f t="shared" si="92"/>
        <v>178.16845961056069</v>
      </c>
      <c r="F995" s="7">
        <f t="shared" si="96"/>
        <v>3137729.3334935983</v>
      </c>
      <c r="G995" s="2">
        <f t="shared" si="93"/>
        <v>1984</v>
      </c>
      <c r="J995" s="2">
        <v>356.33691922112138</v>
      </c>
      <c r="K995" s="2">
        <f t="shared" si="94"/>
        <v>-178.16845961056069</v>
      </c>
      <c r="L995" s="2">
        <f t="shared" si="95"/>
        <v>178.16845961056069</v>
      </c>
    </row>
    <row r="996" spans="1:12" x14ac:dyDescent="0.25">
      <c r="A996">
        <v>994</v>
      </c>
      <c r="B996" s="1">
        <v>1986</v>
      </c>
      <c r="C996" s="1">
        <v>333.49062955351536</v>
      </c>
      <c r="D996">
        <f t="shared" si="91"/>
        <v>-166.74531477675768</v>
      </c>
      <c r="E996">
        <f t="shared" si="92"/>
        <v>166.74531477675768</v>
      </c>
      <c r="F996" s="7">
        <f t="shared" si="96"/>
        <v>3138419.1610423727</v>
      </c>
      <c r="G996" s="2">
        <f t="shared" si="93"/>
        <v>1986</v>
      </c>
      <c r="J996" s="2">
        <v>333.49062955351536</v>
      </c>
      <c r="K996" s="2">
        <f t="shared" si="94"/>
        <v>-166.74531477675768</v>
      </c>
      <c r="L996" s="2">
        <f t="shared" si="95"/>
        <v>166.74531477675768</v>
      </c>
    </row>
    <row r="997" spans="1:12" x14ac:dyDescent="0.25">
      <c r="A997">
        <v>995</v>
      </c>
      <c r="B997" s="1">
        <v>1988</v>
      </c>
      <c r="C997" s="1">
        <v>308.90775322092514</v>
      </c>
      <c r="D997">
        <f t="shared" si="91"/>
        <v>-154.45387661046257</v>
      </c>
      <c r="E997">
        <f t="shared" si="92"/>
        <v>154.45387661046257</v>
      </c>
      <c r="F997" s="7">
        <f t="shared" si="96"/>
        <v>3139061.5594251473</v>
      </c>
      <c r="G997" s="2">
        <f t="shared" si="93"/>
        <v>1988</v>
      </c>
      <c r="J997" s="2">
        <v>308.90775322092514</v>
      </c>
      <c r="K997" s="2">
        <f t="shared" si="94"/>
        <v>-154.45387661046257</v>
      </c>
      <c r="L997" s="2">
        <f t="shared" si="95"/>
        <v>154.45387661046257</v>
      </c>
    </row>
    <row r="998" spans="1:12" x14ac:dyDescent="0.25">
      <c r="A998">
        <v>996</v>
      </c>
      <c r="B998" s="1">
        <v>1990</v>
      </c>
      <c r="C998" s="1">
        <v>282.1347195933177</v>
      </c>
      <c r="D998">
        <f t="shared" si="91"/>
        <v>-141.06735979665885</v>
      </c>
      <c r="E998">
        <f t="shared" si="92"/>
        <v>141.06735979665885</v>
      </c>
      <c r="F998" s="7">
        <f t="shared" si="96"/>
        <v>3139652.6018979615</v>
      </c>
      <c r="G998" s="2">
        <f t="shared" si="93"/>
        <v>1990</v>
      </c>
      <c r="J998" s="2">
        <v>282.1347195933177</v>
      </c>
      <c r="K998" s="2">
        <f t="shared" si="94"/>
        <v>-141.06735979665885</v>
      </c>
      <c r="L998" s="2">
        <f t="shared" si="95"/>
        <v>141.06735979665885</v>
      </c>
    </row>
    <row r="999" spans="1:12" x14ac:dyDescent="0.25">
      <c r="A999">
        <v>997</v>
      </c>
      <c r="B999" s="1">
        <v>1992</v>
      </c>
      <c r="C999" s="1">
        <v>252.47574140895199</v>
      </c>
      <c r="D999">
        <f t="shared" si="91"/>
        <v>-126.23787070447599</v>
      </c>
      <c r="E999">
        <f t="shared" si="92"/>
        <v>126.23787070447599</v>
      </c>
      <c r="F999" s="7">
        <f t="shared" si="96"/>
        <v>3140187.2123589637</v>
      </c>
      <c r="G999" s="2">
        <f t="shared" si="93"/>
        <v>1992</v>
      </c>
      <c r="J999" s="2">
        <v>252.47574140895199</v>
      </c>
      <c r="K999" s="2">
        <f t="shared" si="94"/>
        <v>-126.23787070447599</v>
      </c>
      <c r="L999" s="2">
        <f t="shared" si="95"/>
        <v>126.23787070447599</v>
      </c>
    </row>
    <row r="1000" spans="1:12" x14ac:dyDescent="0.25">
      <c r="A1000">
        <v>998</v>
      </c>
      <c r="B1000" s="1">
        <v>1994</v>
      </c>
      <c r="C1000" s="1">
        <v>218.76014262200508</v>
      </c>
      <c r="D1000">
        <f t="shared" si="91"/>
        <v>-109.38007131100254</v>
      </c>
      <c r="E1000">
        <f t="shared" si="92"/>
        <v>109.38007131100254</v>
      </c>
      <c r="F1000" s="7">
        <f t="shared" si="96"/>
        <v>3140658.4482429945</v>
      </c>
      <c r="G1000" s="2">
        <f t="shared" si="93"/>
        <v>1994</v>
      </c>
      <c r="J1000" s="2">
        <v>218.76014262200508</v>
      </c>
      <c r="K1000" s="2">
        <f t="shared" si="94"/>
        <v>-109.38007131100254</v>
      </c>
      <c r="L1000" s="2">
        <f t="shared" si="95"/>
        <v>109.38007131100254</v>
      </c>
    </row>
    <row r="1001" spans="1:12" x14ac:dyDescent="0.25">
      <c r="A1001">
        <v>999</v>
      </c>
      <c r="B1001" s="1">
        <v>1996</v>
      </c>
      <c r="C1001" s="1">
        <v>178.70646322950941</v>
      </c>
      <c r="D1001">
        <f t="shared" si="91"/>
        <v>-89.353231614754705</v>
      </c>
      <c r="E1001">
        <f t="shared" si="92"/>
        <v>89.353231614754705</v>
      </c>
      <c r="F1001" s="7">
        <f t="shared" si="96"/>
        <v>3141055.9148488459</v>
      </c>
      <c r="G1001" s="2">
        <f t="shared" si="93"/>
        <v>1996</v>
      </c>
      <c r="J1001" s="2">
        <v>178.70646322950941</v>
      </c>
      <c r="K1001" s="2">
        <f t="shared" si="94"/>
        <v>-89.353231614754705</v>
      </c>
      <c r="L1001" s="2">
        <f t="shared" si="95"/>
        <v>89.353231614754705</v>
      </c>
    </row>
    <row r="1002" spans="1:12" x14ac:dyDescent="0.25">
      <c r="A1002">
        <v>1000</v>
      </c>
      <c r="B1002" s="1">
        <v>1998</v>
      </c>
      <c r="C1002" s="1">
        <v>126.42784503423286</v>
      </c>
      <c r="D1002">
        <f t="shared" si="91"/>
        <v>-63.21392251711643</v>
      </c>
      <c r="E1002">
        <f t="shared" si="92"/>
        <v>63.21392251711643</v>
      </c>
      <c r="F1002" s="7">
        <f t="shared" si="96"/>
        <v>3141361.0491571096</v>
      </c>
      <c r="G1002" s="2">
        <f t="shared" si="93"/>
        <v>1998</v>
      </c>
      <c r="J1002" s="2">
        <v>126.42784503423286</v>
      </c>
      <c r="K1002" s="2">
        <f t="shared" si="94"/>
        <v>-63.21392251711643</v>
      </c>
      <c r="L1002" s="2">
        <f t="shared" si="95"/>
        <v>63.21392251711643</v>
      </c>
    </row>
    <row r="1003" spans="1:12" x14ac:dyDescent="0.25">
      <c r="B1003" s="1">
        <v>2000</v>
      </c>
      <c r="C1003" s="1">
        <v>0</v>
      </c>
      <c r="D1003">
        <f t="shared" si="91"/>
        <v>0</v>
      </c>
      <c r="E1003">
        <f t="shared" si="92"/>
        <v>0</v>
      </c>
      <c r="F1003" s="7">
        <f t="shared" si="96"/>
        <v>3141487.4770021439</v>
      </c>
      <c r="G1003" s="2">
        <f t="shared" si="93"/>
        <v>2000</v>
      </c>
      <c r="J1003" s="2">
        <v>0</v>
      </c>
      <c r="K1003" s="2">
        <f t="shared" si="94"/>
        <v>0</v>
      </c>
      <c r="L1003" s="2">
        <f t="shared" si="95"/>
        <v>0</v>
      </c>
    </row>
  </sheetData>
  <mergeCells count="1">
    <mergeCell ref="J1:L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"/>
  <sheetViews>
    <sheetView workbookViewId="0"/>
  </sheetViews>
  <sheetFormatPr defaultRowHeight="15" x14ac:dyDescent="0.25"/>
  <cols>
    <col min="2" max="2" width="12.28515625" customWidth="1"/>
  </cols>
  <sheetData>
    <row r="2" spans="2:4" x14ac:dyDescent="0.25">
      <c r="B2" t="s">
        <v>43</v>
      </c>
      <c r="C2" s="8">
        <v>50</v>
      </c>
      <c r="D2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3</vt:i4>
      </vt:variant>
    </vt:vector>
  </HeadingPairs>
  <TitlesOfParts>
    <vt:vector size="6" baseType="lpstr">
      <vt:lpstr>Kruh</vt:lpstr>
      <vt:lpstr>Profil</vt:lpstr>
      <vt:lpstr>Hydrometrovani</vt:lpstr>
      <vt:lpstr>Kruh!DN_KRUH</vt:lpstr>
      <vt:lpstr>POC_BOD</vt:lpstr>
      <vt:lpstr>Kruh!R_KRUH</vt:lpstr>
    </vt:vector>
  </TitlesOfParts>
  <Company>DHI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Vajda</dc:creator>
  <cp:lastModifiedBy>Jakub Vajda</cp:lastModifiedBy>
  <dcterms:created xsi:type="dcterms:W3CDTF">2014-08-13T13:28:44Z</dcterms:created>
  <dcterms:modified xsi:type="dcterms:W3CDTF">2017-05-11T07:18:25Z</dcterms:modified>
</cp:coreProperties>
</file>